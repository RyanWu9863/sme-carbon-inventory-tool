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表二_邊界設定" sheetId="1" state="visible" r:id="rId3"/>
    <sheet name="表三_排放源清冊" sheetId="2" state="visible" r:id="rId4"/>
    <sheet name="活動數據登錄" sheetId="3" state="visible" r:id="rId5"/>
    <sheet name="表八_排放量彙總" sheetId="4" state="visible" r:id="rId6"/>
    <sheet name="燃料係數計算" sheetId="5" state="visible" r:id="rId7"/>
    <sheet name="電力係數" sheetId="6" state="visible" r:id="rId8"/>
    <sheet name="GWP表" sheetId="7" state="visible" r:id="rId9"/>
    <sheet name="代碼表" sheetId="8" state="visible" r:id="rId10"/>
    <sheet name="手算驗證" sheetId="9" state="visible" r:id="rId11"/>
    <sheet name="資料來源與限制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<sst xmlns="http://schemas.openxmlformats.org/spreadsheetml/2006/main" count="643" uniqueCount="436">
  <si>
    <t xml:space="preserve">表二、邊界設定</t>
  </si>
  <si>
    <t xml:space="preserve">欄位對齊環境部清冊表單表二。黃底自行填寫。「未納入計算之排放源」是口試最愛問的一欄——寫下排除了什麼、為什麼。</t>
  </si>
  <si>
    <t xml:space="preserve">【組織資訊】</t>
  </si>
  <si>
    <t xml:space="preserve">事業名稱</t>
  </si>
  <si>
    <t xml:space="preserve">示範小吃店</t>
  </si>
  <si>
    <t xml:space="preserve">對應表一事業基本資料</t>
  </si>
  <si>
    <t xml:space="preserve">管制編號／統一編號</t>
  </si>
  <si>
    <t xml:space="preserve">（待填）</t>
  </si>
  <si>
    <t xml:space="preserve">官方以單一管制編號為盤查單位</t>
  </si>
  <si>
    <t xml:space="preserve">行業別代碼</t>
  </si>
  <si>
    <t xml:space="preserve">查清冊表單附表四行業別分類表</t>
  </si>
  <si>
    <t xml:space="preserve">盤查年度</t>
  </si>
  <si>
    <t xml:space="preserve">113</t>
  </si>
  <si>
    <t xml:space="preserve">民國年。決定電力係數用哪一年</t>
  </si>
  <si>
    <t xml:space="preserve">基準年</t>
  </si>
  <si>
    <t xml:space="preserve">後續減量比較的基準</t>
  </si>
  <si>
    <t xml:space="preserve">【邊界設定】</t>
  </si>
  <si>
    <t xml:space="preserve">組織邊界合併方法</t>
  </si>
  <si>
    <t xml:space="preserve">營運控制權</t>
  </si>
  <si>
    <t xml:space="preserve">營運控制權／財務控制權／股權比例，三選一並說明理由</t>
  </si>
  <si>
    <t xml:space="preserve">縣市別</t>
  </si>
  <si>
    <t xml:space="preserve">臺北市</t>
  </si>
  <si>
    <t xml:space="preserve">對應表二</t>
  </si>
  <si>
    <t xml:space="preserve">鄉鎮別</t>
  </si>
  <si>
    <t xml:space="preserve">大安區</t>
  </si>
  <si>
    <t xml:space="preserve">郵遞區號</t>
  </si>
  <si>
    <t xml:space="preserve">106</t>
  </si>
  <si>
    <t xml:space="preserve">附表三郵遞區號</t>
  </si>
  <si>
    <t xml:space="preserve">地址</t>
  </si>
  <si>
    <t xml:space="preserve">【納入範疇】</t>
  </si>
  <si>
    <t xml:space="preserve">範疇一 直接排放</t>
  </si>
  <si>
    <t xml:space="preserve">納入：固定燃燒、移動燃燒</t>
  </si>
  <si>
    <t xml:space="preserve">本專題涵蓋</t>
  </si>
  <si>
    <t xml:space="preserve">範疇二 能源間接排放</t>
  </si>
  <si>
    <t xml:space="preserve">納入：外購電力</t>
  </si>
  <si>
    <t xml:space="preserve">範疇三 其他間接排放</t>
  </si>
  <si>
    <t xml:space="preserve">排除</t>
  </si>
  <si>
    <t xml:space="preserve">超出研究範圍，於報告揭露</t>
  </si>
  <si>
    <t xml:space="preserve">【邊界內未納入計算之排放源】</t>
  </si>
  <si>
    <t xml:space="preserve">排除項目</t>
  </si>
  <si>
    <t xml:space="preserve">排除理由（必須寫，不可留白）</t>
  </si>
  <si>
    <r>
      <rPr>
        <sz val="9"/>
        <color rgb="FF1F2933"/>
        <rFont val="Noto Sans CJK SC"/>
        <family val="2"/>
      </rPr>
      <t xml:space="preserve">未納入排放源</t>
    </r>
    <r>
      <rPr>
        <sz val="9"/>
        <color rgb="FF1F2933"/>
        <rFont val="Arial"/>
        <family val="0"/>
        <charset val="1"/>
      </rPr>
      <t xml:space="preserve">1</t>
    </r>
  </si>
  <si>
    <t xml:space="preserve">製程排放</t>
  </si>
  <si>
    <t xml:space="preserve">本業無製造程序，附表二製程係數不適用</t>
  </si>
  <si>
    <r>
      <rPr>
        <sz val="9"/>
        <color rgb="FF1F2933"/>
        <rFont val="Noto Sans CJK SC"/>
        <family val="2"/>
      </rPr>
      <t xml:space="preserve">未納入排放源</t>
    </r>
    <r>
      <rPr>
        <sz val="9"/>
        <color rgb="FF1F2933"/>
        <rFont val="Arial"/>
        <family val="0"/>
        <charset val="1"/>
      </rPr>
      <t xml:space="preserve">2</t>
    </r>
  </si>
  <si>
    <t xml:space="preserve">逸散排放－冷媒</t>
  </si>
  <si>
    <r>
      <rPr>
        <sz val="9"/>
        <color rgb="FF1F2933"/>
        <rFont val="Noto Sans CJK SC"/>
        <family val="2"/>
      </rPr>
      <t xml:space="preserve">空調冷媒逸散係數為區間值（年洩漏率</t>
    </r>
    <r>
      <rPr>
        <sz val="9"/>
        <color rgb="FF1F2933"/>
        <rFont val="Arial"/>
        <family val="0"/>
        <charset val="1"/>
      </rPr>
      <t xml:space="preserve">1~10%</t>
    </r>
    <r>
      <rPr>
        <sz val="9"/>
        <color rgb="FF1F2933"/>
        <rFont val="Noto Sans CJK SC"/>
        <family val="2"/>
      </rPr>
      <t xml:space="preserve">），不確定性過高且無填充紀錄可查，本次排除並列為未來工作</t>
    </r>
  </si>
  <si>
    <r>
      <rPr>
        <sz val="9"/>
        <color rgb="FF1F2933"/>
        <rFont val="Noto Sans CJK SC"/>
        <family val="2"/>
      </rPr>
      <t xml:space="preserve">未納入排放源</t>
    </r>
    <r>
      <rPr>
        <sz val="9"/>
        <color rgb="FF1F2933"/>
        <rFont val="Arial"/>
        <family val="0"/>
        <charset val="1"/>
      </rPr>
      <t xml:space="preserve">3</t>
    </r>
  </si>
  <si>
    <t xml:space="preserve">逸散排放－化糞池</t>
  </si>
  <si>
    <t xml:space="preserve">排放量占比極低，依重大性原則排除</t>
  </si>
  <si>
    <r>
      <rPr>
        <sz val="9"/>
        <color rgb="FF1F2933"/>
        <rFont val="Noto Sans CJK SC"/>
        <family val="2"/>
      </rPr>
      <t xml:space="preserve">未納入排放源</t>
    </r>
    <r>
      <rPr>
        <sz val="9"/>
        <color rgb="FF1F2933"/>
        <rFont val="Arial"/>
        <family val="0"/>
        <charset val="1"/>
      </rPr>
      <t xml:space="preserve">4</t>
    </r>
  </si>
  <si>
    <t xml:space="preserve">（自行補充）</t>
  </si>
  <si>
    <t xml:space="preserve">表三、排放源鑑別（盤查清冊）</t>
  </si>
  <si>
    <t xml:space="preserve">欄位對齊環境部清冊表單表三。代碼欄下拉選單來自「代碼表」分頁。口試問「你怎麼證明沒漏掉排放源」，答案就是這張表。</t>
  </si>
  <si>
    <t xml:space="preserve">排放源編號</t>
  </si>
  <si>
    <t xml:space="preserve">排放源名稱
（自訂，供對照）</t>
  </si>
  <si>
    <t xml:space="preserve">製程編號</t>
  </si>
  <si>
    <t xml:space="preserve">製程代碼</t>
  </si>
  <si>
    <t xml:space="preserve">製程名稱</t>
  </si>
  <si>
    <t xml:space="preserve">設備編號</t>
  </si>
  <si>
    <t xml:space="preserve">設備代碼</t>
  </si>
  <si>
    <t xml:space="preserve">設備名稱</t>
  </si>
  <si>
    <t xml:space="preserve">原燃物料代碼</t>
  </si>
  <si>
    <t xml:space="preserve">原燃物料名稱</t>
  </si>
  <si>
    <t xml:space="preserve">是否生質能源</t>
  </si>
  <si>
    <r>
      <rPr>
        <b val="true"/>
        <sz val="9"/>
        <color rgb="FFFFFFFF"/>
        <rFont val="Noto Sans CJK SC"/>
        <family val="2"/>
      </rPr>
      <t xml:space="preserve">直接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間接</t>
    </r>
  </si>
  <si>
    <t xml:space="preserve">排放型式</t>
  </si>
  <si>
    <r>
      <rPr>
        <b val="true"/>
        <sz val="9"/>
        <color rgb="FFFFFFFF"/>
        <rFont val="Noto Sans CJK SC"/>
        <family val="2"/>
      </rPr>
      <t xml:space="preserve">產生</t>
    </r>
    <r>
      <rPr>
        <b val="true"/>
        <sz val="9"/>
        <color rgb="FFFFFFFF"/>
        <rFont val="Arial"/>
        <family val="0"/>
        <charset val="1"/>
      </rPr>
      <t xml:space="preserve">CO2</t>
    </r>
  </si>
  <si>
    <r>
      <rPr>
        <b val="true"/>
        <sz val="9"/>
        <color rgb="FFFFFFFF"/>
        <rFont val="Noto Sans CJK SC"/>
        <family val="2"/>
      </rPr>
      <t xml:space="preserve">產生</t>
    </r>
    <r>
      <rPr>
        <b val="true"/>
        <sz val="9"/>
        <color rgb="FFFFFFFF"/>
        <rFont val="Arial"/>
        <family val="0"/>
        <charset val="1"/>
      </rPr>
      <t xml:space="preserve">CH4</t>
    </r>
  </si>
  <si>
    <r>
      <rPr>
        <b val="true"/>
        <sz val="9"/>
        <color rgb="FFFFFFFF"/>
        <rFont val="Noto Sans CJK SC"/>
        <family val="2"/>
      </rPr>
      <t xml:space="preserve">產生</t>
    </r>
    <r>
      <rPr>
        <b val="true"/>
        <sz val="9"/>
        <color rgb="FFFFFFFF"/>
        <rFont val="Arial"/>
        <family val="0"/>
        <charset val="1"/>
      </rPr>
      <t xml:space="preserve">N2O</t>
    </r>
  </si>
  <si>
    <t xml:space="preserve">對應係數編號</t>
  </si>
  <si>
    <t xml:space="preserve">備註</t>
  </si>
  <si>
    <t xml:space="preserve">S01</t>
  </si>
  <si>
    <r>
      <rPr>
        <sz val="9"/>
        <color rgb="FF0000FF"/>
        <rFont val="Noto Sans CJK SC"/>
        <family val="2"/>
      </rPr>
      <t xml:space="preserve">台電電號 </t>
    </r>
    <r>
      <rPr>
        <sz val="9"/>
        <color rgb="FF0000FF"/>
        <rFont val="Arial"/>
        <family val="0"/>
        <charset val="1"/>
      </rPr>
      <t xml:space="preserve">01-23-4567-89</t>
    </r>
  </si>
  <si>
    <t xml:space="preserve">G01</t>
  </si>
  <si>
    <t xml:space="preserve">000000</t>
  </si>
  <si>
    <t xml:space="preserve">GP01</t>
  </si>
  <si>
    <t xml:space="preserve">9999</t>
  </si>
  <si>
    <t xml:space="preserve">GG3500</t>
  </si>
  <si>
    <t xml:space="preserve">否</t>
  </si>
  <si>
    <t xml:space="preserve">間接</t>
  </si>
  <si>
    <t xml:space="preserve">外購電力</t>
  </si>
  <si>
    <t xml:space="preserve">v</t>
  </si>
  <si>
    <t xml:space="preserve">TW-ELEC-113</t>
  </si>
  <si>
    <r>
      <rPr>
        <sz val="9"/>
        <color rgb="FF0000FF"/>
        <rFont val="Noto Sans CJK SC"/>
        <family val="2"/>
      </rPr>
      <t xml:space="preserve">併網。電力係數已含</t>
    </r>
    <r>
      <rPr>
        <sz val="9"/>
        <color rgb="FF0000FF"/>
        <rFont val="Arial"/>
        <family val="0"/>
        <charset val="1"/>
      </rPr>
      <t xml:space="preserve">GWP</t>
    </r>
    <r>
      <rPr>
        <sz val="9"/>
        <color rgb="FF0000FF"/>
        <rFont val="Noto Sans CJK SC"/>
        <family val="2"/>
      </rPr>
      <t xml:space="preserve">，僅計</t>
    </r>
    <r>
      <rPr>
        <sz val="9"/>
        <color rgb="FF0000FF"/>
        <rFont val="Arial"/>
        <family val="0"/>
        <charset val="1"/>
      </rPr>
      <t xml:space="preserve">CO2e</t>
    </r>
  </si>
  <si>
    <t xml:space="preserve">S02</t>
  </si>
  <si>
    <r>
      <rPr>
        <sz val="9"/>
        <color rgb="FF0000FF"/>
        <rFont val="Noto Sans CJK SC"/>
        <family val="2"/>
      </rPr>
      <t xml:space="preserve">公務車 </t>
    </r>
    <r>
      <rPr>
        <sz val="9"/>
        <color rgb="FF0000FF"/>
        <rFont val="Arial"/>
        <family val="0"/>
        <charset val="1"/>
      </rPr>
      <t xml:space="preserve">3888-AB</t>
    </r>
  </si>
  <si>
    <t xml:space="preserve">G02</t>
  </si>
  <si>
    <t xml:space="preserve">G20900</t>
  </si>
  <si>
    <t xml:space="preserve">GV01</t>
  </si>
  <si>
    <t xml:space="preserve">0200</t>
  </si>
  <si>
    <t xml:space="preserve">170001</t>
  </si>
  <si>
    <t xml:space="preserve">直接</t>
  </si>
  <si>
    <t xml:space="preserve">移動燃燒</t>
  </si>
  <si>
    <t xml:space="preserve">TW-M-GASOLINE-OXI</t>
  </si>
  <si>
    <t xml:space="preserve">配置觸媒轉換器，採氧化觸媒係數</t>
  </si>
  <si>
    <t xml:space="preserve">S03</t>
  </si>
  <si>
    <t xml:space="preserve">外送機車隊</t>
  </si>
  <si>
    <t xml:space="preserve">GV02</t>
  </si>
  <si>
    <t xml:space="preserve">多台合併計列，需說明合併理由</t>
  </si>
  <si>
    <t xml:space="preserve">S04</t>
  </si>
  <si>
    <t xml:space="preserve">廚房天然氣爐具</t>
  </si>
  <si>
    <t xml:space="preserve">G03</t>
  </si>
  <si>
    <t xml:space="preserve">000999</t>
  </si>
  <si>
    <t xml:space="preserve">GM01</t>
  </si>
  <si>
    <t xml:space="preserve">0020</t>
  </si>
  <si>
    <t xml:space="preserve">050002</t>
  </si>
  <si>
    <t xml:space="preserve">固定燃燒</t>
  </si>
  <si>
    <t xml:space="preserve">TW-F-NG-S</t>
  </si>
  <si>
    <t xml:space="preserve">設備代碼無「瓦斯爐」，暫歸燃氣鍋爐，須於報告說明</t>
  </si>
  <si>
    <t xml:space="preserve">S05</t>
  </si>
  <si>
    <t xml:space="preserve">備用發電機（柴油）</t>
  </si>
  <si>
    <t xml:space="preserve">GM02</t>
  </si>
  <si>
    <t xml:space="preserve">0298</t>
  </si>
  <si>
    <t xml:space="preserve">170006</t>
  </si>
  <si>
    <t xml:space="preserve">TW-F-DIESEL-S</t>
  </si>
  <si>
    <r>
      <rPr>
        <sz val="9"/>
        <color rgb="FF0000FF"/>
        <rFont val="Noto Sans CJK SC"/>
        <family val="2"/>
      </rPr>
      <t xml:space="preserve">若年度未啟用，活動數據填</t>
    </r>
    <r>
      <rPr>
        <sz val="9"/>
        <color rgb="FF0000FF"/>
        <rFont val="Arial"/>
        <family val="0"/>
        <charset val="1"/>
      </rPr>
      <t xml:space="preserve">0</t>
    </r>
    <r>
      <rPr>
        <sz val="9"/>
        <color rgb="FF0000FF"/>
        <rFont val="Noto Sans CJK SC"/>
        <family val="2"/>
      </rPr>
      <t xml:space="preserve">，仍須列入清冊</t>
    </r>
  </si>
  <si>
    <r>
      <rPr>
        <i val="true"/>
        <sz val="9"/>
        <color rgb="FF9C2A00"/>
        <rFont val="Noto Sans CJK SC"/>
        <family val="2"/>
      </rPr>
      <t xml:space="preserve">完整性檢查：清冊上每一個排放源，在「活動數據登錄」都必須至少有一筆資料；年度未使用者活動數據填 </t>
    </r>
    <r>
      <rPr>
        <i val="true"/>
        <sz val="9"/>
        <color rgb="FF9C2A00"/>
        <rFont val="Arial"/>
        <family val="0"/>
        <charset val="1"/>
      </rPr>
      <t xml:space="preserve">0</t>
    </r>
    <r>
      <rPr>
        <i val="true"/>
        <sz val="9"/>
        <color rgb="FF9C2A00"/>
        <rFont val="Noto Sans CJK SC"/>
        <family val="2"/>
      </rPr>
      <t xml:space="preserve">，不可從清冊刪除。</t>
    </r>
  </si>
  <si>
    <t xml:space="preserve">活動數據登錄表</t>
  </si>
  <si>
    <t xml:space="preserve">盤查年度起日</t>
  </si>
  <si>
    <t xml:space="preserve">民國113年1月1日</t>
  </si>
  <si>
    <t xml:space="preserve">盤查年度迄日</t>
  </si>
  <si>
    <t xml:space="preserve">民國113年12月31日。跨年帳單依落在此區間的天數比例分攤。</t>
  </si>
  <si>
    <t xml:space="preserve">一列一張單據。黃底自行填寫，其餘自動計算。「資料品質」填實測或推估——金額回推公升、跨期分攤後的數字都算推估，必須誠實標示。</t>
  </si>
  <si>
    <r>
      <rPr>
        <b val="true"/>
        <sz val="10"/>
        <color rgb="FFFFFFFF"/>
        <rFont val="Arial"/>
        <family val="0"/>
        <charset val="1"/>
      </rPr>
      <t xml:space="preserve">A. </t>
    </r>
    <r>
      <rPr>
        <b val="true"/>
        <sz val="10"/>
        <color rgb="FFFFFFFF"/>
        <rFont val="Noto Sans CJK SC"/>
        <family val="2"/>
      </rPr>
      <t xml:space="preserve">單據內容（自行填寫）</t>
    </r>
  </si>
  <si>
    <r>
      <rPr>
        <b val="true"/>
        <sz val="10"/>
        <color rgb="FFFFFFFF"/>
        <rFont val="Arial"/>
        <family val="0"/>
        <charset val="1"/>
      </rPr>
      <t xml:space="preserve">B. </t>
    </r>
    <r>
      <rPr>
        <b val="true"/>
        <sz val="10"/>
        <color rgb="FFFFFFFF"/>
        <rFont val="Noto Sans CJK SC"/>
        <family val="2"/>
      </rPr>
      <t xml:space="preserve">跨期分攤（公式）</t>
    </r>
  </si>
  <si>
    <r>
      <rPr>
        <b val="true"/>
        <sz val="10"/>
        <color rgb="FFFFFFFF"/>
        <rFont val="Arial"/>
        <family val="0"/>
        <charset val="1"/>
      </rPr>
      <t xml:space="preserve">C. </t>
    </r>
    <r>
      <rPr>
        <b val="true"/>
        <sz val="10"/>
        <color rgb="FFFFFFFF"/>
        <rFont val="Noto Sans CJK SC"/>
        <family val="2"/>
      </rPr>
      <t xml:space="preserve">排放量計算（公式）</t>
    </r>
  </si>
  <si>
    <t xml:space="preserve">序號</t>
  </si>
  <si>
    <t xml:space="preserve">排放源名稱</t>
  </si>
  <si>
    <t xml:space="preserve">佐證類型</t>
  </si>
  <si>
    <t xml:space="preserve">佐證編號</t>
  </si>
  <si>
    <t xml:space="preserve">期間起</t>
  </si>
  <si>
    <t xml:space="preserve">期間迄</t>
  </si>
  <si>
    <t xml:space="preserve">原始活動數據</t>
  </si>
  <si>
    <t xml:space="preserve">單位</t>
  </si>
  <si>
    <t xml:space="preserve">資料品質</t>
  </si>
  <si>
    <t xml:space="preserve">推估依據／備註</t>
  </si>
  <si>
    <t xml:space="preserve">總天數</t>
  </si>
  <si>
    <t xml:space="preserve">年度內天數</t>
  </si>
  <si>
    <t xml:space="preserve">分攤比例</t>
  </si>
  <si>
    <t xml:space="preserve">分攤後數據</t>
  </si>
  <si>
    <t xml:space="preserve">係數編號</t>
  </si>
  <si>
    <t xml:space="preserve">係數名稱</t>
  </si>
  <si>
    <t xml:space="preserve">係數單位</t>
  </si>
  <si>
    <t xml:space="preserve">單位檢查</t>
  </si>
  <si>
    <t xml:space="preserve">合計係數
kgCO2e/單位</t>
  </si>
  <si>
    <t xml:space="preserve">範疇</t>
  </si>
  <si>
    <t xml:space="preserve">排放量
kgCO2e</t>
  </si>
  <si>
    <t xml:space="preserve">排放量
tCO2e</t>
  </si>
  <si>
    <t xml:space="preserve">台電電號 01-23-4567-89</t>
  </si>
  <si>
    <t xml:space="preserve">電費單</t>
  </si>
  <si>
    <r>
      <rPr>
        <sz val="9"/>
        <color rgb="FF0000FF"/>
        <rFont val="Arial"/>
        <family val="0"/>
        <charset val="1"/>
      </rPr>
      <t xml:space="preserve">113</t>
    </r>
    <r>
      <rPr>
        <sz val="9"/>
        <color rgb="FF0000FF"/>
        <rFont val="Noto Sans CJK SC"/>
        <family val="2"/>
      </rPr>
      <t xml:space="preserve">年</t>
    </r>
    <r>
      <rPr>
        <sz val="9"/>
        <color rgb="FF0000FF"/>
        <rFont val="Arial"/>
        <family val="0"/>
        <charset val="1"/>
      </rPr>
      <t xml:space="preserve">1-2</t>
    </r>
    <r>
      <rPr>
        <sz val="9"/>
        <color rgb="FF0000FF"/>
        <rFont val="Noto Sans CJK SC"/>
        <family val="2"/>
      </rPr>
      <t xml:space="preserve">月期</t>
    </r>
  </si>
  <si>
    <t xml:space="preserve">度</t>
  </si>
  <si>
    <t xml:space="preserve">推估</t>
  </si>
  <si>
    <t xml:space="preserve">雙月期帳單跨年度，依天數比例分攤，分攤後數值屬推估。</t>
  </si>
  <si>
    <r>
      <rPr>
        <sz val="9"/>
        <color rgb="FF0000FF"/>
        <rFont val="Arial"/>
        <family val="0"/>
        <charset val="1"/>
      </rPr>
      <t xml:space="preserve">113</t>
    </r>
    <r>
      <rPr>
        <sz val="9"/>
        <color rgb="FF0000FF"/>
        <rFont val="Noto Sans CJK SC"/>
        <family val="2"/>
      </rPr>
      <t xml:space="preserve">年</t>
    </r>
    <r>
      <rPr>
        <sz val="9"/>
        <color rgb="FF0000FF"/>
        <rFont val="Arial"/>
        <family val="0"/>
        <charset val="1"/>
      </rPr>
      <t xml:space="preserve">3-4</t>
    </r>
    <r>
      <rPr>
        <sz val="9"/>
        <color rgb="FF0000FF"/>
        <rFont val="Noto Sans CJK SC"/>
        <family val="2"/>
      </rPr>
      <t xml:space="preserve">月期</t>
    </r>
  </si>
  <si>
    <t xml:space="preserve">實測</t>
  </si>
  <si>
    <t xml:space="preserve">完整落在盤查年度內。</t>
  </si>
  <si>
    <t xml:space="preserve">公務車 3888-AB</t>
  </si>
  <si>
    <t xml:space="preserve">電子發票</t>
  </si>
  <si>
    <t xml:space="preserve">AB-12345678</t>
  </si>
  <si>
    <t xml:space="preserve">公升</t>
  </si>
  <si>
    <t xml:space="preserve">發票品項含數量，直接採用。</t>
  </si>
  <si>
    <t xml:space="preserve">AB-12345679</t>
  </si>
  <si>
    <t xml:space="preserve">⚠發票僅有金額1,500元，以當期油價30.5元/公升回推。油價逐週調整，此為推估值，取得正確數量後應更正。</t>
  </si>
  <si>
    <t xml:space="preserve">瓦斯帳單</t>
  </si>
  <si>
    <r>
      <rPr>
        <sz val="9"/>
        <color rgb="FF0000FF"/>
        <rFont val="Arial"/>
        <family val="0"/>
        <charset val="1"/>
      </rPr>
      <t xml:space="preserve">113</t>
    </r>
    <r>
      <rPr>
        <sz val="9"/>
        <color rgb="FF0000FF"/>
        <rFont val="Noto Sans CJK SC"/>
        <family val="2"/>
      </rPr>
      <t xml:space="preserve">年</t>
    </r>
    <r>
      <rPr>
        <sz val="9"/>
        <color rgb="FF0000FF"/>
        <rFont val="Arial"/>
        <family val="0"/>
        <charset val="1"/>
      </rPr>
      <t xml:space="preserve">Q1</t>
    </r>
  </si>
  <si>
    <t xml:space="preserve">立方公尺</t>
  </si>
  <si>
    <t xml:space="preserve">熱值採NG1(消費面)8,107，未取得瓦斯公司當期熱值。</t>
  </si>
  <si>
    <t xml:space="preserve">盤查結果彙總</t>
  </si>
  <si>
    <t xml:space="preserve">範疇二 外購電力</t>
  </si>
  <si>
    <t xml:space="preserve">合計</t>
  </si>
  <si>
    <t xml:space="preserve">資料品質揭露（報告必列）</t>
  </si>
  <si>
    <t xml:space="preserve">實測筆數</t>
  </si>
  <si>
    <t xml:space="preserve">推估筆數</t>
  </si>
  <si>
    <t xml:space="preserve">推估排放量占比</t>
  </si>
  <si>
    <t xml:space="preserve">檢查點：第1筆為跨年帳單，分攤比例應為 45/62 ≒ 0.7258。若顯示 1.0000 代表分攤公式沒生效。</t>
  </si>
  <si>
    <t xml:space="preserve">表八、溫室氣體排放量彙總</t>
  </si>
  <si>
    <r>
      <rPr>
        <i val="true"/>
        <sz val="9"/>
        <color rgb="FF6E756F"/>
        <rFont val="Noto Sans CJK SC"/>
        <family val="2"/>
      </rPr>
      <t xml:space="preserve">欄位對齊環境部清冊表單表八，數值自動取自「活動數據登錄」。本系統僅涵蓋範疇一、二，</t>
    </r>
    <r>
      <rPr>
        <i val="true"/>
        <sz val="9"/>
        <color rgb="FF6E756F"/>
        <rFont val="Arial"/>
        <family val="0"/>
        <charset val="1"/>
      </rPr>
      <t xml:space="preserve">HFCs/PFCs/SF6/NF3 </t>
    </r>
    <r>
      <rPr>
        <i val="true"/>
        <sz val="9"/>
        <color rgb="FF6E756F"/>
        <rFont val="Noto Sans CJK SC"/>
        <family val="2"/>
      </rPr>
      <t xml:space="preserve">恆為 </t>
    </r>
    <r>
      <rPr>
        <i val="true"/>
        <sz val="9"/>
        <color rgb="FF6E756F"/>
        <rFont val="Arial"/>
        <family val="0"/>
        <charset val="1"/>
      </rPr>
      <t xml:space="preserve">0</t>
    </r>
    <r>
      <rPr>
        <i val="true"/>
        <sz val="9"/>
        <color rgb="FF6E756F"/>
        <rFont val="Noto Sans CJK SC"/>
        <family val="2"/>
      </rPr>
      <t xml:space="preserve">。</t>
    </r>
  </si>
  <si>
    <r>
      <rPr>
        <b val="true"/>
        <sz val="11"/>
        <color rgb="FFFFFFFF"/>
        <rFont val="Noto Sans CJK SC"/>
        <family val="2"/>
      </rPr>
      <t xml:space="preserve">彙整表二、七大溫室氣體排放當量（公噸</t>
    </r>
    <r>
      <rPr>
        <b val="true"/>
        <sz val="11"/>
        <color rgb="FFFFFFFF"/>
        <rFont val="Arial"/>
        <family val="0"/>
        <charset val="1"/>
      </rPr>
      <t xml:space="preserve">CO2e/</t>
    </r>
    <r>
      <rPr>
        <b val="true"/>
        <sz val="11"/>
        <color rgb="FFFFFFFF"/>
        <rFont val="Noto Sans CJK SC"/>
        <family val="2"/>
      </rPr>
      <t xml:space="preserve">年）</t>
    </r>
  </si>
  <si>
    <t xml:space="preserve">CO2</t>
  </si>
  <si>
    <t xml:space="preserve">CH4</t>
  </si>
  <si>
    <t xml:space="preserve">N2O</t>
  </si>
  <si>
    <t xml:space="preserve">HFCs</t>
  </si>
  <si>
    <t xml:space="preserve">PFCs</t>
  </si>
  <si>
    <t xml:space="preserve">SF6</t>
  </si>
  <si>
    <t xml:space="preserve">NF3</t>
  </si>
  <si>
    <t xml:space="preserve">年總排放當量</t>
  </si>
  <si>
    <t xml:space="preserve">排放當量</t>
  </si>
  <si>
    <r>
      <rPr>
        <sz val="8"/>
        <color rgb="FF9C2A00"/>
        <rFont val="Noto Sans CJK SC"/>
        <family val="2"/>
      </rPr>
      <t xml:space="preserve">⚠簡化：本系統將燃料燃燒的</t>
    </r>
    <r>
      <rPr>
        <sz val="8"/>
        <color rgb="FF9C2A00"/>
        <rFont val="Arial"/>
        <family val="0"/>
        <charset val="1"/>
      </rPr>
      <t xml:space="preserve">CH4/N2O</t>
    </r>
    <r>
      <rPr>
        <sz val="8"/>
        <color rgb="FF9C2A00"/>
        <rFont val="Noto Sans CJK SC"/>
        <family val="2"/>
      </rPr>
      <t xml:space="preserve">已折算為</t>
    </r>
    <r>
      <rPr>
        <sz val="8"/>
        <color rgb="FF9C2A00"/>
        <rFont val="Arial"/>
        <family val="0"/>
        <charset val="1"/>
      </rPr>
      <t xml:space="preserve">CO2e</t>
    </r>
    <r>
      <rPr>
        <sz val="8"/>
        <color rgb="FF9C2A00"/>
        <rFont val="Noto Sans CJK SC"/>
        <family val="2"/>
      </rPr>
      <t xml:space="preserve">併入</t>
    </r>
    <r>
      <rPr>
        <sz val="8"/>
        <color rgb="FF9C2A00"/>
        <rFont val="Arial"/>
        <family val="0"/>
        <charset val="1"/>
      </rPr>
      <t xml:space="preserve">CO2</t>
    </r>
    <r>
      <rPr>
        <sz val="8"/>
        <color rgb="FF9C2A00"/>
        <rFont val="Noto Sans CJK SC"/>
        <family val="2"/>
      </rPr>
      <t xml:space="preserve">欄，未分氣體拆列。正式申報須拆分。</t>
    </r>
  </si>
  <si>
    <r>
      <rPr>
        <sz val="11"/>
        <color theme="1"/>
        <rFont val="Noto Sans CJK SC"/>
        <family val="2"/>
      </rPr>
      <t xml:space="preserve">氣體別占比</t>
    </r>
    <r>
      <rPr>
        <sz val="11"/>
        <color theme="1"/>
        <rFont val="Calibri"/>
        <family val="2"/>
        <charset val="1"/>
      </rPr>
      <t xml:space="preserve">(%)</t>
    </r>
  </si>
  <si>
    <r>
      <rPr>
        <b val="true"/>
        <sz val="11"/>
        <color rgb="FFFFFFFF"/>
        <rFont val="Noto Sans CJK SC"/>
        <family val="2"/>
      </rPr>
      <t xml:space="preserve">彙整表四、範疇別排放當量（公噸</t>
    </r>
    <r>
      <rPr>
        <b val="true"/>
        <sz val="11"/>
        <color rgb="FFFFFFFF"/>
        <rFont val="Arial"/>
        <family val="0"/>
        <charset val="1"/>
      </rPr>
      <t xml:space="preserve">CO2e/</t>
    </r>
    <r>
      <rPr>
        <b val="true"/>
        <sz val="11"/>
        <color rgb="FFFFFFFF"/>
        <rFont val="Noto Sans CJK SC"/>
        <family val="2"/>
      </rPr>
      <t xml:space="preserve">年）</t>
    </r>
  </si>
  <si>
    <t xml:space="preserve">直接排放－固定燃燒</t>
  </si>
  <si>
    <t xml:space="preserve">移動燃燒需另行拆分，見下方說明</t>
  </si>
  <si>
    <t xml:space="preserve">直接排放－移動燃燒</t>
  </si>
  <si>
    <t xml:space="preserve">（見備註）</t>
  </si>
  <si>
    <r>
      <rPr>
        <sz val="8"/>
        <color rgb="FF6E756F"/>
        <rFont val="Noto Sans CJK SC"/>
        <family val="2"/>
      </rPr>
      <t xml:space="preserve">本試算表未依設備別拆分固定</t>
    </r>
    <r>
      <rPr>
        <sz val="8"/>
        <color rgb="FF6E756F"/>
        <rFont val="Arial"/>
        <family val="0"/>
        <charset val="1"/>
      </rPr>
      <t xml:space="preserve">/</t>
    </r>
    <r>
      <rPr>
        <sz val="8"/>
        <color rgb="FF6E756F"/>
        <rFont val="Noto Sans CJK SC"/>
        <family val="2"/>
      </rPr>
      <t xml:space="preserve">移動，程式版應由表三排放源清冊的排放型式欄自動歸類</t>
    </r>
  </si>
  <si>
    <t xml:space="preserve">直接排放小計（範疇一）</t>
  </si>
  <si>
    <t xml:space="preserve">能源間接排放－外購電力（範疇二）</t>
  </si>
  <si>
    <t xml:space="preserve">其他間接排放（範疇三）</t>
  </si>
  <si>
    <t xml:space="preserve">本系統不涵蓋，報告須揭露</t>
  </si>
  <si>
    <t xml:space="preserve">總排放當量</t>
  </si>
  <si>
    <t xml:space="preserve">彙整表五、數據品質（對應官方表六）</t>
  </si>
  <si>
    <t xml:space="preserve">清冊排放源數</t>
  </si>
  <si>
    <t xml:space="preserve">已有活動數據之排放源數</t>
  </si>
  <si>
    <t xml:space="preserve">⚠ 本表為簡化版，對應官方表八的彙整表二與表四。官方另有彙整表一（全廠電力）、表三（範疇一分氣體）、表五（數據等級評分）、表六（不確定性）——列管事業必填，中小企業自願盤查通常不需要，但報告中應說明為何未做。</t>
  </si>
  <si>
    <t xml:space="preserve">燃料排放係數推導表</t>
  </si>
  <si>
    <t xml:space="preserve">換算常數 1 kcal =</t>
  </si>
  <si>
    <r>
      <rPr>
        <sz val="9"/>
        <color rgb="FF6E756F"/>
        <rFont val="Arial"/>
        <family val="0"/>
        <charset val="1"/>
      </rPr>
      <t xml:space="preserve">TJ</t>
    </r>
    <r>
      <rPr>
        <sz val="9"/>
        <color rgb="FF6E756F"/>
        <rFont val="Noto Sans CJK SC"/>
        <family val="2"/>
      </rPr>
      <t xml:space="preserve">（來源：附表一 註</t>
    </r>
    <r>
      <rPr>
        <sz val="9"/>
        <color rgb="FF6E756F"/>
        <rFont val="Arial"/>
        <family val="0"/>
        <charset val="1"/>
      </rPr>
      <t xml:space="preserve">2</t>
    </r>
    <r>
      <rPr>
        <sz val="9"/>
        <color rgb="FF6E756F"/>
        <rFont val="Noto Sans CJK SC"/>
        <family val="2"/>
      </rPr>
      <t xml:space="preserve">）</t>
    </r>
  </si>
  <si>
    <t xml:space="preserve">本表採用 GWP 版本</t>
  </si>
  <si>
    <t xml:space="preserve">AR5</t>
  </si>
  <si>
    <t xml:space="preserve">（環境部附表四即為 AR5，勿任意更改）</t>
  </si>
  <si>
    <t xml:space="preserve">圖例：灰底＝環境部公告值，不得修改 ｜ 黃底＝假設值，可依實際情況覆寫，但必須填來源 ｜ 白底＝公式自動計算。（註：本表配色與官方原檔相反，官方以黃色標示公告值）</t>
  </si>
  <si>
    <r>
      <rPr>
        <b val="true"/>
        <sz val="10"/>
        <color rgb="FFFFFFFF"/>
        <rFont val="Arial"/>
        <family val="0"/>
        <charset val="1"/>
      </rPr>
      <t xml:space="preserve">A. </t>
    </r>
    <r>
      <rPr>
        <b val="true"/>
        <sz val="10"/>
        <color rgb="FFFFFFFF"/>
        <rFont val="Noto Sans CJK SC"/>
        <family val="2"/>
      </rPr>
      <t xml:space="preserve">識別</t>
    </r>
  </si>
  <si>
    <r>
      <rPr>
        <b val="true"/>
        <sz val="10"/>
        <color rgb="FFFFFFFF"/>
        <rFont val="Arial"/>
        <family val="0"/>
        <charset val="1"/>
      </rPr>
      <t xml:space="preserve">B. </t>
    </r>
    <r>
      <rPr>
        <b val="true"/>
        <sz val="10"/>
        <color rgb="FFFFFFFF"/>
        <rFont val="Noto Sans CJK SC"/>
        <family val="2"/>
      </rPr>
      <t xml:space="preserve">官方公告值（勿修改）</t>
    </r>
  </si>
  <si>
    <r>
      <rPr>
        <b val="true"/>
        <sz val="10"/>
        <color rgb="FFFFFFFF"/>
        <rFont val="Arial"/>
        <family val="0"/>
        <charset val="1"/>
      </rPr>
      <t xml:space="preserve">C. </t>
    </r>
    <r>
      <rPr>
        <b val="true"/>
        <sz val="10"/>
        <color rgb="FFFFFFFF"/>
        <rFont val="Noto Sans CJK SC"/>
        <family val="2"/>
      </rPr>
      <t xml:space="preserve">熱值假設（可覆寫）</t>
    </r>
  </si>
  <si>
    <r>
      <rPr>
        <b val="true"/>
        <sz val="10"/>
        <color rgb="FFFFFFFF"/>
        <rFont val="Arial"/>
        <family val="0"/>
        <charset val="1"/>
      </rPr>
      <t xml:space="preserve">D. </t>
    </r>
    <r>
      <rPr>
        <b val="true"/>
        <sz val="10"/>
        <color rgb="FFFFFFFF"/>
        <rFont val="Noto Sans CJK SC"/>
        <family val="2"/>
      </rPr>
      <t xml:space="preserve">計算結果（公式）</t>
    </r>
  </si>
  <si>
    <r>
      <rPr>
        <b val="true"/>
        <sz val="10"/>
        <color rgb="FFFFFFFF"/>
        <rFont val="Arial"/>
        <family val="0"/>
        <charset val="1"/>
      </rPr>
      <t xml:space="preserve">E. </t>
    </r>
    <r>
      <rPr>
        <b val="true"/>
        <sz val="10"/>
        <color rgb="FFFFFFFF"/>
        <rFont val="Noto Sans CJK SC"/>
        <family val="2"/>
      </rPr>
      <t xml:space="preserve">其他</t>
    </r>
  </si>
  <si>
    <t xml:space="preserve">activity_key</t>
  </si>
  <si>
    <t xml:space="preserve">燃料名稱</t>
  </si>
  <si>
    <t xml:space="preserve">用途</t>
  </si>
  <si>
    <t xml:space="preserve">車輛技術別</t>
  </si>
  <si>
    <t xml:space="preserve">活動單位</t>
  </si>
  <si>
    <t xml:space="preserve">CO2
kg/TJ</t>
  </si>
  <si>
    <t xml:space="preserve">CH4
kg/TJ</t>
  </si>
  <si>
    <t xml:space="preserve">N2O
kg/TJ</t>
  </si>
  <si>
    <t xml:space="preserve">甲烷GWP類別</t>
  </si>
  <si>
    <t xml:space="preserve">公告出處</t>
  </si>
  <si>
    <t xml:space="preserve">熱值
kcal/單位</t>
  </si>
  <si>
    <t xml:space="preserve">熱值來源</t>
  </si>
  <si>
    <t xml:space="preserve">熱值版本註記</t>
  </si>
  <si>
    <r>
      <rPr>
        <b val="true"/>
        <sz val="9"/>
        <color rgb="FFFFFFFF"/>
        <rFont val="Arial"/>
        <family val="0"/>
        <charset val="1"/>
      </rPr>
      <t xml:space="preserve">CO2
kg/</t>
    </r>
    <r>
      <rPr>
        <b val="true"/>
        <sz val="9"/>
        <color rgb="FFFFFFFF"/>
        <rFont val="Noto Sans CJK SC"/>
        <family val="2"/>
      </rPr>
      <t xml:space="preserve">單位</t>
    </r>
  </si>
  <si>
    <r>
      <rPr>
        <b val="true"/>
        <sz val="9"/>
        <color rgb="FFFFFFFF"/>
        <rFont val="Arial"/>
        <family val="0"/>
        <charset val="1"/>
      </rPr>
      <t xml:space="preserve">CH4
kg/</t>
    </r>
    <r>
      <rPr>
        <b val="true"/>
        <sz val="9"/>
        <color rgb="FFFFFFFF"/>
        <rFont val="Noto Sans CJK SC"/>
        <family val="2"/>
      </rPr>
      <t xml:space="preserve">單位</t>
    </r>
  </si>
  <si>
    <r>
      <rPr>
        <b val="true"/>
        <sz val="9"/>
        <color rgb="FFFFFFFF"/>
        <rFont val="Arial"/>
        <family val="0"/>
        <charset val="1"/>
      </rPr>
      <t xml:space="preserve">N2O
kg/</t>
    </r>
    <r>
      <rPr>
        <b val="true"/>
        <sz val="9"/>
        <color rgb="FFFFFFFF"/>
        <rFont val="Noto Sans CJK SC"/>
        <family val="2"/>
      </rPr>
      <t xml:space="preserve">單位</t>
    </r>
  </si>
  <si>
    <t xml:space="preserve">GWP
CH4</t>
  </si>
  <si>
    <t xml:space="preserve">GWP
N2O</t>
  </si>
  <si>
    <t xml:space="preserve">合計
kgCO2e/單位</t>
  </si>
  <si>
    <t xml:space="preserve">比對關鍵字</t>
  </si>
  <si>
    <t xml:space="preserve">備註與限制</t>
  </si>
  <si>
    <t xml:space="preserve">TW-F-GASOLINE-S</t>
  </si>
  <si>
    <t xml:space="preserve">gasoline_stationary</t>
  </si>
  <si>
    <t xml:space="preserve">車用汽油</t>
  </si>
  <si>
    <t xml:space="preserve">—</t>
  </si>
  <si>
    <t xml:space="preserve">甲烷</t>
  </si>
  <si>
    <t xml:space="preserve">附表一-固定 第11列</t>
  </si>
  <si>
    <t xml:space="preserve">能源署 能源產品單位熱值表(自113年起)</t>
  </si>
  <si>
    <r>
      <rPr>
        <sz val="9"/>
        <color rgb="FF0000FF"/>
        <rFont val="Arial"/>
        <family val="0"/>
        <charset val="1"/>
      </rPr>
      <t xml:space="preserve">114</t>
    </r>
    <r>
      <rPr>
        <sz val="9"/>
        <color rgb="FF0000FF"/>
        <rFont val="Noto Sans CJK SC"/>
        <family val="2"/>
      </rPr>
      <t xml:space="preserve">年修正</t>
    </r>
  </si>
  <si>
    <r>
      <rPr>
        <sz val="9"/>
        <color rgb="FF1F2933"/>
        <rFont val="Arial"/>
        <family val="0"/>
        <charset val="1"/>
      </rPr>
      <t xml:space="preserve">92|95|98|</t>
    </r>
    <r>
      <rPr>
        <sz val="9"/>
        <color rgb="FF1F2933"/>
        <rFont val="Noto Sans CJK SC"/>
        <family val="2"/>
      </rPr>
      <t xml:space="preserve">無鉛</t>
    </r>
    <r>
      <rPr>
        <sz val="9"/>
        <color rgb="FF1F2933"/>
        <rFont val="Arial"/>
        <family val="0"/>
        <charset val="1"/>
      </rPr>
      <t xml:space="preserve">|</t>
    </r>
    <r>
      <rPr>
        <sz val="9"/>
        <color rgb="FF1F2933"/>
        <rFont val="Noto Sans CJK SC"/>
        <family val="2"/>
      </rPr>
      <t xml:space="preserve">汽油</t>
    </r>
  </si>
  <si>
    <r>
      <rPr>
        <sz val="9"/>
        <color rgb="FF1F2933"/>
        <rFont val="Arial"/>
        <family val="0"/>
        <charset val="1"/>
      </rPr>
      <t xml:space="preserve">⚠114</t>
    </r>
    <r>
      <rPr>
        <sz val="9"/>
        <color rgb="FF1F2933"/>
        <rFont val="Noto Sans CJK SC"/>
        <family val="2"/>
      </rPr>
      <t xml:space="preserve">年修正熱值。坊間流通的舊係數多以修正前熱值推得，數值會不同。</t>
    </r>
  </si>
  <si>
    <t xml:space="preserve">diesel_stationary</t>
  </si>
  <si>
    <t xml:space="preserve">柴油</t>
  </si>
  <si>
    <t xml:space="preserve">附表一-固定 第17列</t>
  </si>
  <si>
    <t xml:space="preserve">柴油|超級柴油</t>
  </si>
  <si>
    <t xml:space="preserve">TW-F-LPG-S</t>
  </si>
  <si>
    <t xml:space="preserve">lpg_stationary</t>
  </si>
  <si>
    <t xml:space="preserve">液化石油氣</t>
  </si>
  <si>
    <t xml:space="preserve">附表一-固定 第19列</t>
  </si>
  <si>
    <t xml:space="preserve">350008</t>
  </si>
  <si>
    <t xml:space="preserve">液化石油氣|桶裝瓦斯|LPG</t>
  </si>
  <si>
    <r>
      <rPr>
        <sz val="9"/>
        <color rgb="FF1F2933"/>
        <rFont val="Arial"/>
        <family val="0"/>
        <charset val="1"/>
      </rPr>
      <t xml:space="preserve">⚠114</t>
    </r>
    <r>
      <rPr>
        <sz val="9"/>
        <color rgb="FF1F2933"/>
        <rFont val="Noto Sans CJK SC"/>
        <family val="2"/>
      </rPr>
      <t xml:space="preserve">年修正熱值。坊間流通的舊係數多以修正前熱值推得，數值會不同。 若帳單以公斤計價，需另取密度換算，密度為額外假設。</t>
    </r>
  </si>
  <si>
    <t xml:space="preserve">natural_gas_stationary</t>
  </si>
  <si>
    <t xml:space="preserve">天然氣</t>
  </si>
  <si>
    <t xml:space="preserve">附表一-固定 第45列</t>
  </si>
  <si>
    <t xml:space="preserve">能源署 能源產品單位熱值表(自113年起) NG1(消費面)</t>
  </si>
  <si>
    <r>
      <rPr>
        <sz val="9"/>
        <color rgb="FF0000FF"/>
        <rFont val="Arial"/>
        <family val="0"/>
        <charset val="1"/>
      </rPr>
      <t xml:space="preserve">114</t>
    </r>
    <r>
      <rPr>
        <sz val="9"/>
        <color rgb="FF0000FF"/>
        <rFont val="Noto Sans CJK SC"/>
        <family val="2"/>
      </rPr>
      <t xml:space="preserve">年新增</t>
    </r>
  </si>
  <si>
    <t xml:space="preserve">天然氣|瓦斯|大台北瓦斯|欣欣瓦斯</t>
  </si>
  <si>
    <t xml:space="preserve">⚠熱值歧異最大的一項。熱值表列有(自產)天然氣5,925、(進口)LNG 8,710、NG1(消費面)8,107、NG2(消費面)8,755，差距達48%。此處暫採NG1，但實務上應改用瓦斯公司費率公告揭露之當期熱值。此假設必須寫入報告限制。</t>
  </si>
  <si>
    <t xml:space="preserve">TW-F-FUELOIL-S</t>
  </si>
  <si>
    <t xml:space="preserve">fuel_oil_stationary</t>
  </si>
  <si>
    <t xml:space="preserve">燃料油</t>
  </si>
  <si>
    <t xml:space="preserve">附表一-固定 第18列</t>
  </si>
  <si>
    <t xml:space="preserve">170008</t>
  </si>
  <si>
    <t xml:space="preserve">燃料油|重油</t>
  </si>
  <si>
    <t xml:space="preserve">TW-F-KEROSENE-S</t>
  </si>
  <si>
    <t xml:space="preserve">kerosene_stationary</t>
  </si>
  <si>
    <t xml:space="preserve">其他煤油</t>
  </si>
  <si>
    <t xml:space="preserve">附表一-固定 第15列</t>
  </si>
  <si>
    <t xml:space="preserve">170005</t>
  </si>
  <si>
    <r>
      <rPr>
        <sz val="9"/>
        <color rgb="FF0000FF"/>
        <rFont val="Arial"/>
        <family val="0"/>
        <charset val="1"/>
      </rPr>
      <t xml:space="preserve">92</t>
    </r>
    <r>
      <rPr>
        <sz val="9"/>
        <color rgb="FF0000FF"/>
        <rFont val="Noto Sans CJK SC"/>
        <family val="2"/>
      </rPr>
      <t xml:space="preserve">年修正</t>
    </r>
  </si>
  <si>
    <t xml:space="preserve">煤油</t>
  </si>
  <si>
    <t xml:space="preserve">gasoline_mobile_oxi</t>
  </si>
  <si>
    <t xml:space="preserve">氧化觸媒</t>
  </si>
  <si>
    <t xml:space="preserve">附表一-移動 第8列(CO2)/第24列(CH4,N2O)</t>
  </si>
  <si>
    <t xml:space="preserve">台灣現行車輛多配置觸媒轉換器，一般選此列；報告須說明選擇依據。</t>
  </si>
  <si>
    <t xml:space="preserve">TW-M-GASOLINE-UNC</t>
  </si>
  <si>
    <t xml:space="preserve">gasoline_mobile_unc</t>
  </si>
  <si>
    <t xml:space="preserve">未控制</t>
  </si>
  <si>
    <t xml:space="preserve">附表一-移動 第8列/第23列</t>
  </si>
  <si>
    <t xml:space="preserve">老舊或無觸媒車輛適用。</t>
  </si>
  <si>
    <t xml:space="preserve">TW-M-GASOLINE-LOW</t>
  </si>
  <si>
    <t xml:space="preserve">gasoline_mobile_low</t>
  </si>
  <si>
    <r>
      <rPr>
        <sz val="9"/>
        <color rgb="FF1F2933"/>
        <rFont val="Arial"/>
        <family val="0"/>
        <charset val="1"/>
      </rPr>
      <t xml:space="preserve">1995</t>
    </r>
    <r>
      <rPr>
        <sz val="9"/>
        <color rgb="FF1F2933"/>
        <rFont val="Noto Sans CJK SC"/>
        <family val="2"/>
      </rPr>
      <t xml:space="preserve">年後低里程輕型車</t>
    </r>
  </si>
  <si>
    <t xml:space="preserve">附表一-移動 第8列/第25列</t>
  </si>
  <si>
    <t xml:space="preserve">適用條件嚴格，採用前需確認車輛符合。</t>
  </si>
  <si>
    <t xml:space="preserve">TW-M-DIESEL</t>
  </si>
  <si>
    <t xml:space="preserve">diesel_mobile</t>
  </si>
  <si>
    <t xml:space="preserve">附表一-移動 第9列/第26列</t>
  </si>
  <si>
    <t xml:space="preserve">移動燃燒柴油不分技術別。</t>
  </si>
  <si>
    <t xml:space="preserve">TW-M-LPG</t>
  </si>
  <si>
    <t xml:space="preserve">lpg_mobile</t>
  </si>
  <si>
    <t xml:space="preserve">附表一-移動 第10列/第28列</t>
  </si>
  <si>
    <t xml:space="preserve">液化石油氣|LPG</t>
  </si>
  <si>
    <r>
      <rPr>
        <sz val="9"/>
        <color rgb="FF1F2933"/>
        <rFont val="Arial"/>
        <family val="0"/>
        <charset val="1"/>
      </rPr>
      <t xml:space="preserve">CH4</t>
    </r>
    <r>
      <rPr>
        <sz val="9"/>
        <color rgb="FF1F2933"/>
        <rFont val="Noto Sans CJK SC"/>
        <family val="2"/>
      </rPr>
      <t xml:space="preserve">係數明顯偏高，計程車隊需留意。</t>
    </r>
  </si>
  <si>
    <t xml:space="preserve">TW-M-CNG</t>
  </si>
  <si>
    <t xml:space="preserve">cng_mobile</t>
  </si>
  <si>
    <t xml:space="preserve">壓縮天然氣</t>
  </si>
  <si>
    <t xml:space="preserve">附表一-移動 第13列/第27列</t>
  </si>
  <si>
    <t xml:space="preserve">天然氣|CNG</t>
  </si>
  <si>
    <t xml:space="preserve">外購電力排碳係數（範疇二）</t>
  </si>
  <si>
    <t xml:space="preserve">環境部附表一不含電力。依公告：「購買或使用公用售電業電力者，依盤查及查驗時經濟部最新公告之電力排碳係數。」逐年公告，盤查哪一年就用哪一年。</t>
  </si>
  <si>
    <t xml:space="preserve">顯示名稱</t>
  </si>
  <si>
    <t xml:space="preserve">係數值</t>
  </si>
  <si>
    <t xml:space="preserve">數值型態</t>
  </si>
  <si>
    <t xml:space="preserve">資料來源</t>
  </si>
  <si>
    <t xml:space="preserve">適用年度</t>
  </si>
  <si>
    <t xml:space="preserve">台灣電力(113年度)</t>
  </si>
  <si>
    <r>
      <rPr>
        <sz val="9"/>
        <color rgb="FF1F2933"/>
        <rFont val="Arial"/>
        <family val="0"/>
        <charset val="1"/>
      </rPr>
      <t xml:space="preserve">kgCO2e/</t>
    </r>
    <r>
      <rPr>
        <sz val="9"/>
        <color rgb="FF1F2933"/>
        <rFont val="Noto Sans CJK SC"/>
        <family val="2"/>
      </rPr>
      <t xml:space="preserve">度</t>
    </r>
  </si>
  <si>
    <t xml:space="preserve">合併</t>
  </si>
  <si>
    <t xml:space="preserve">經濟部能源署 113年度電力排碳係數</t>
  </si>
  <si>
    <t xml:space="preserve">已含GWP，計算時不可再乘GWP。適用公用售電業(台電)。非公用售電業或自用發電須另取供應商係數。</t>
  </si>
  <si>
    <t xml:space="preserve">TW-ELEC-112</t>
  </si>
  <si>
    <t xml:space="preserve">台灣電力(112年度)</t>
  </si>
  <si>
    <t xml:space="preserve">經濟部能源署 112年度電力排碳係數（清冊表單附表一亦列此值）</t>
  </si>
  <si>
    <t xml:space="preserve">已核實。清冊表單附表一列有89~113年度完整序列，不確定性±7%。</t>
  </si>
  <si>
    <t xml:space="preserve">TW-ELEC-114</t>
  </si>
  <si>
    <t xml:space="preserve">台灣電力(114年度)</t>
  </si>
  <si>
    <t xml:space="preserve">經濟部能源署 114年度電力排碳係數</t>
  </si>
  <si>
    <t xml:space="preserve">待補：公告後填入。</t>
  </si>
  <si>
    <t xml:space="preserve">全球暖化潛勢 GWP（環境部附表四 ＝ IPCC AR5）</t>
  </si>
  <si>
    <t xml:space="preserve">來源：附表四，IPCC AR5 (2013) Chapter 8, table 8.A.1。全份報告只能用同一版。</t>
  </si>
  <si>
    <t xml:space="preserve">版本</t>
  </si>
  <si>
    <t xml:space="preserve">氣體名稱</t>
  </si>
  <si>
    <t xml:space="preserve">化學式</t>
  </si>
  <si>
    <t xml:space="preserve">GWP100</t>
  </si>
  <si>
    <t xml:space="preserve">適用說明</t>
  </si>
  <si>
    <t xml:space="preserve">來源</t>
  </si>
  <si>
    <t xml:space="preserve">二氧化碳</t>
  </si>
  <si>
    <t xml:space="preserve">定義值，恆為 1</t>
  </si>
  <si>
    <t xml:space="preserve">附表四</t>
  </si>
  <si>
    <t xml:space="preserve">★燃料燃燒（固定及移動設備）一律採本列。依環境部平台公告「修正甲烷及石化甲烷GWP適用情形」，燃料燃燒採甲烷28，非石化甲烷30。清冊表單代碼 180177。</t>
  </si>
  <si>
    <t xml:space="preserve">附表四／清冊表單附表二</t>
  </si>
  <si>
    <t xml:space="preserve">石化甲烷</t>
  </si>
  <si>
    <t xml:space="preserve">附表四註1雖載明「適用於化石燃料所排放之甲烷」，但平台已公告燃料燃燒改採甲烷28。本表保留此列僅供對照，計算不使用。清冊表單代碼 180176。</t>
  </si>
  <si>
    <t xml:space="preserve">氧化亞氮</t>
  </si>
  <si>
    <t xml:space="preserve">附表四另列有 HFC、PFC、SF6 等冷媒類 GWP（如 HFC-134a 等），若日後納入冷媒逸散再補。註3：本表未列之氣體得引用IPCC最新版次。</t>
  </si>
  <si>
    <t xml:space="preserve">官方代碼表（節錄自清冊表單附表五～七，中小企業常用部分）</t>
  </si>
  <si>
    <t xml:space="preserve">非製造程序產出類別</t>
  </si>
  <si>
    <t xml:space="preserve">0010</t>
  </si>
  <si>
    <t xml:space="preserve">燃油鍋爐</t>
  </si>
  <si>
    <t xml:space="preserve">其他未分類製程</t>
  </si>
  <si>
    <t xml:space="preserve">燃氣鍋爐</t>
  </si>
  <si>
    <t xml:space="preserve">交通運輸活動</t>
  </si>
  <si>
    <t xml:space="preserve">0099</t>
  </si>
  <si>
    <t xml:space="preserve">其他鍋爐</t>
  </si>
  <si>
    <t xml:space="preserve">逸散</t>
  </si>
  <si>
    <t xml:space="preserve">G20901</t>
  </si>
  <si>
    <t xml:space="preserve">消防活動</t>
  </si>
  <si>
    <t xml:space="preserve">汽油引擎</t>
  </si>
  <si>
    <t xml:space="preserve">G20902</t>
  </si>
  <si>
    <t xml:space="preserve">維修保養程序</t>
  </si>
  <si>
    <t xml:space="preserve">0201</t>
  </si>
  <si>
    <t xml:space="preserve">柴油引擎</t>
  </si>
  <si>
    <t xml:space="preserve">370009</t>
  </si>
  <si>
    <t xml:space="preserve">其他廢水處理程序</t>
  </si>
  <si>
    <t xml:space="preserve">發電機</t>
  </si>
  <si>
    <t xml:space="preserve">9795</t>
  </si>
  <si>
    <t xml:space="preserve">化糞池</t>
  </si>
  <si>
    <t xml:space="preserve">外購台電電力</t>
  </si>
  <si>
    <t xml:space="preserve">9798</t>
  </si>
  <si>
    <t xml:space="preserve">消防設施</t>
  </si>
  <si>
    <t xml:space="preserve">GG3502</t>
  </si>
  <si>
    <r>
      <rPr>
        <sz val="9"/>
        <color rgb="FF1F2933"/>
        <rFont val="Arial"/>
        <family val="0"/>
        <charset val="1"/>
      </rPr>
      <t xml:space="preserve">REC</t>
    </r>
    <r>
      <rPr>
        <sz val="9"/>
        <color rgb="FF1F2933"/>
        <rFont val="Noto Sans CJK SC"/>
        <family val="2"/>
      </rPr>
      <t xml:space="preserve">登載電力使用</t>
    </r>
    <r>
      <rPr>
        <sz val="9"/>
        <color rgb="FF1F2933"/>
        <rFont val="Arial"/>
        <family val="0"/>
        <charset val="1"/>
      </rPr>
      <t xml:space="preserve">-</t>
    </r>
    <r>
      <rPr>
        <sz val="9"/>
        <color rgb="FF1F2933"/>
        <rFont val="Noto Sans CJK SC"/>
        <family val="2"/>
      </rPr>
      <t xml:space="preserve">電證合一</t>
    </r>
  </si>
  <si>
    <t xml:space="preserve">其他未歸類設施</t>
  </si>
  <si>
    <t xml:space="preserve">手算驗證表</t>
  </si>
  <si>
    <t xml:space="preserve">黃底自行填寫，其餘為公式。係數編號可填燃料或電力，會自動從對應分頁帶出。每一列日後都要變成一個單元測試。</t>
  </si>
  <si>
    <t xml:space="preserve">案例</t>
  </si>
  <si>
    <t xml:space="preserve">說明</t>
  </si>
  <si>
    <t xml:space="preserve">活動數據</t>
  </si>
  <si>
    <r>
      <rPr>
        <b val="true"/>
        <sz val="9"/>
        <color rgb="FFFFFFFF"/>
        <rFont val="Arial"/>
        <family val="0"/>
        <charset val="1"/>
      </rPr>
      <t xml:space="preserve">CO2 kg/</t>
    </r>
    <r>
      <rPr>
        <b val="true"/>
        <sz val="9"/>
        <color rgb="FFFFFFFF"/>
        <rFont val="Noto Sans CJK SC"/>
        <family val="2"/>
      </rPr>
      <t xml:space="preserve">單位</t>
    </r>
  </si>
  <si>
    <r>
      <rPr>
        <b val="true"/>
        <sz val="9"/>
        <color rgb="FFFFFFFF"/>
        <rFont val="Arial"/>
        <family val="0"/>
        <charset val="1"/>
      </rPr>
      <t xml:space="preserve">CH4 kg/</t>
    </r>
    <r>
      <rPr>
        <b val="true"/>
        <sz val="9"/>
        <color rgb="FFFFFFFF"/>
        <rFont val="Noto Sans CJK SC"/>
        <family val="2"/>
      </rPr>
      <t xml:space="preserve">單位</t>
    </r>
  </si>
  <si>
    <r>
      <rPr>
        <b val="true"/>
        <sz val="9"/>
        <color rgb="FFFFFFFF"/>
        <rFont val="Arial"/>
        <family val="0"/>
        <charset val="1"/>
      </rPr>
      <t xml:space="preserve">N2O kg/</t>
    </r>
    <r>
      <rPr>
        <b val="true"/>
        <sz val="9"/>
        <color rgb="FFFFFFFF"/>
        <rFont val="Noto Sans CJK SC"/>
        <family val="2"/>
      </rPr>
      <t xml:space="preserve">單位</t>
    </r>
  </si>
  <si>
    <r>
      <rPr>
        <b val="true"/>
        <sz val="9"/>
        <color rgb="FFFFFFFF"/>
        <rFont val="Arial"/>
        <family val="0"/>
        <charset val="1"/>
      </rPr>
      <t xml:space="preserve">CO2</t>
    </r>
    <r>
      <rPr>
        <b val="true"/>
        <sz val="9"/>
        <color rgb="FFFFFFFF"/>
        <rFont val="Noto Sans CJK SC"/>
        <family val="2"/>
      </rPr>
      <t xml:space="preserve">排放</t>
    </r>
  </si>
  <si>
    <r>
      <rPr>
        <b val="true"/>
        <sz val="9"/>
        <color rgb="FFFFFFFF"/>
        <rFont val="Arial"/>
        <family val="0"/>
        <charset val="1"/>
      </rPr>
      <t xml:space="preserve">CH4</t>
    </r>
    <r>
      <rPr>
        <b val="true"/>
        <sz val="9"/>
        <color rgb="FFFFFFFF"/>
        <rFont val="Noto Sans CJK SC"/>
        <family val="2"/>
      </rPr>
      <t xml:space="preserve">排放</t>
    </r>
  </si>
  <si>
    <r>
      <rPr>
        <b val="true"/>
        <sz val="9"/>
        <color rgb="FFFFFFFF"/>
        <rFont val="Arial"/>
        <family val="0"/>
        <charset val="1"/>
      </rPr>
      <t xml:space="preserve">N2O</t>
    </r>
    <r>
      <rPr>
        <b val="true"/>
        <sz val="9"/>
        <color rgb="FFFFFFFF"/>
        <rFont val="Noto Sans CJK SC"/>
        <family val="2"/>
      </rPr>
      <t xml:space="preserve">排放</t>
    </r>
  </si>
  <si>
    <t xml:space="preserve">合計kgCO2e</t>
  </si>
  <si>
    <t xml:space="preserve">合計tCO2e</t>
  </si>
  <si>
    <t xml:space="preserve">案例1</t>
  </si>
  <si>
    <r>
      <rPr>
        <sz val="9"/>
        <color rgb="FF1F2933"/>
        <rFont val="Arial"/>
        <family val="0"/>
        <charset val="1"/>
      </rPr>
      <t xml:space="preserve">113</t>
    </r>
    <r>
      <rPr>
        <sz val="9"/>
        <color rgb="FF1F2933"/>
        <rFont val="Noto Sans CJK SC"/>
        <family val="2"/>
      </rPr>
      <t xml:space="preserve">年</t>
    </r>
    <r>
      <rPr>
        <sz val="9"/>
        <color rgb="FF1F2933"/>
        <rFont val="Arial"/>
        <family val="0"/>
        <charset val="1"/>
      </rPr>
      <t xml:space="preserve">3</t>
    </r>
    <r>
      <rPr>
        <sz val="9"/>
        <color rgb="FF1F2933"/>
        <rFont val="Noto Sans CJK SC"/>
        <family val="2"/>
      </rPr>
      <t xml:space="preserve">月電費單</t>
    </r>
  </si>
  <si>
    <t xml:space="preserve">案例2</t>
  </si>
  <si>
    <t xml:space="preserve">公務車加油（觸媒）</t>
  </si>
  <si>
    <t xml:space="preserve">案例3</t>
  </si>
  <si>
    <t xml:space="preserve">同案例2改未控制車</t>
  </si>
  <si>
    <t xml:space="preserve">案例4</t>
  </si>
  <si>
    <t xml:space="preserve">廚房天然氣季用量</t>
  </si>
  <si>
    <t xml:space="preserve">案例5</t>
  </si>
  <si>
    <t xml:space="preserve">桶裝瓦斯</t>
  </si>
  <si>
    <t xml:space="preserve">案例6</t>
  </si>
  <si>
    <t xml:space="preserve">（自行填寫）</t>
  </si>
  <si>
    <t xml:space="preserve">檢查點：案例2 與案例3 僅車輛技術別不同，合計必須不一樣。相同代表公式壞了。</t>
  </si>
  <si>
    <t xml:space="preserve">資料來源與研究限制</t>
  </si>
  <si>
    <t xml:space="preserve">【資料來源】</t>
  </si>
  <si>
    <t xml:space="preserve">燃料排放係數</t>
  </si>
  <si>
    <t xml:space="preserve">環境部 113年2月5日 環部授氣字第1139101231號公告「溫室氣體排放係數」附表一。法源：溫室氣體排放量盤查登錄及查驗管理辦法第4條第2項第1款。</t>
  </si>
  <si>
    <t xml:space="preserve">GWP</t>
  </si>
  <si>
    <t xml:space="preserve">同上公告附表四。等同 IPCC AR5 (2013) Chapter 8, table 8.A.1。</t>
  </si>
  <si>
    <t xml:space="preserve">燃料熱值</t>
  </si>
  <si>
    <t xml:space="preserve">經濟部能源署「能源產品單位熱值表（自113年起）」，採淨熱值（＝低位熱值 LHV）。</t>
  </si>
  <si>
    <t xml:space="preserve">電力排碳係數</t>
  </si>
  <si>
    <t xml:space="preserve">經濟部能源署「113年度電力排碳係數」＝0.474 kgCO2e/度。</t>
  </si>
  <si>
    <t xml:space="preserve">【研究限制】</t>
  </si>
  <si>
    <t xml:space="preserve">以下每一項都要寫進報告，也都是口試會問的</t>
  </si>
  <si>
    <r>
      <rPr>
        <sz val="9"/>
        <color rgb="FF1F2933"/>
        <rFont val="Arial"/>
        <family val="0"/>
        <charset val="1"/>
      </rPr>
      <t xml:space="preserve">0 </t>
    </r>
    <r>
      <rPr>
        <sz val="9"/>
        <color rgb="FF1F2933"/>
        <rFont val="Noto Sans CJK SC"/>
        <family val="2"/>
      </rPr>
      <t xml:space="preserve">甲烷</t>
    </r>
    <r>
      <rPr>
        <sz val="9"/>
        <color rgb="FF1F2933"/>
        <rFont val="Arial"/>
        <family val="0"/>
        <charset val="1"/>
      </rPr>
      <t xml:space="preserve">GWP</t>
    </r>
    <r>
      <rPr>
        <sz val="9"/>
        <color rgb="FF1F2933"/>
        <rFont val="Noto Sans CJK SC"/>
        <family val="2"/>
      </rPr>
      <t xml:space="preserve">更正</t>
    </r>
  </si>
  <si>
    <t xml:space="preserve">⚠環境部平台已公告「修正甲烷及石化甲烷GWP適用情形」：燃料燃燒（含固定及移動設備）採「甲烷」GWP=28，而非附表四註1字面上的石化甲烷30。本表已依此更正。資料來源：溫室氣體排放量清冊表單 表五修正說明。</t>
  </si>
  <si>
    <r>
      <rPr>
        <b val="true"/>
        <sz val="9"/>
        <color rgb="FF9C2A00"/>
        <rFont val="Arial"/>
        <family val="0"/>
        <charset val="1"/>
      </rPr>
      <t xml:space="preserve">1 </t>
    </r>
    <r>
      <rPr>
        <b val="true"/>
        <sz val="9"/>
        <color rgb="FF9C2A00"/>
        <rFont val="Noto Sans CJK SC"/>
        <family val="2"/>
      </rPr>
      <t xml:space="preserve">熱值表用途聲明</t>
    </r>
  </si>
  <si>
    <t xml:space="preserve">⚠最重要。能源署熱值表註1明載「本表僅供能源統計使用，不建議用於其他用途」。環境部原意是由事業填入自身燃料實際熱值，但中小企業無檢測能力，故本研究以能源署公告熱值作為替代值。此為已知限制，必須主動揭露，不可略過。</t>
  </si>
  <si>
    <r>
      <rPr>
        <sz val="9"/>
        <color rgb="FF1F2933"/>
        <rFont val="Arial"/>
        <family val="0"/>
        <charset val="1"/>
      </rPr>
      <t xml:space="preserve">2 </t>
    </r>
    <r>
      <rPr>
        <sz val="9"/>
        <color rgb="FF1F2933"/>
        <rFont val="Noto Sans CJK SC"/>
        <family val="2"/>
      </rPr>
      <t xml:space="preserve">熱值版本</t>
    </r>
  </si>
  <si>
    <t xml:space="preserve">熱值表標題為「自113年起」，多數項目註記「114年修正熱值」。使用前須確認盤查年度應適用哪一版本，並記錄版本。</t>
  </si>
  <si>
    <r>
      <rPr>
        <sz val="9"/>
        <color rgb="FF1F2933"/>
        <rFont val="Arial"/>
        <family val="0"/>
        <charset val="1"/>
      </rPr>
      <t xml:space="preserve">3 </t>
    </r>
    <r>
      <rPr>
        <sz val="9"/>
        <color rgb="FF1F2933"/>
        <rFont val="Noto Sans CJK SC"/>
        <family val="2"/>
      </rPr>
      <t xml:space="preserve">天然氣熱值歧異</t>
    </r>
  </si>
  <si>
    <t xml:space="preserve">熱值表列有 自產5,925／進口LNG 8,710／NG1 8,107／NG2 8,755 kcal/m³，最大差距48%。本表暫採 NG1(消費面)，實務上應改用瓦斯公司費率公告之當期熱值。</t>
  </si>
  <si>
    <r>
      <rPr>
        <sz val="9"/>
        <color rgb="FF1F2933"/>
        <rFont val="Arial"/>
        <family val="0"/>
        <charset val="1"/>
      </rPr>
      <t xml:space="preserve">4 </t>
    </r>
    <r>
      <rPr>
        <sz val="9"/>
        <color rgb="FF1F2933"/>
        <rFont val="Noto Sans CJK SC"/>
        <family val="2"/>
      </rPr>
      <t xml:space="preserve">移動燃燒技術別</t>
    </r>
  </si>
  <si>
    <r>
      <rPr>
        <sz val="9"/>
        <color rgb="FF1F2933"/>
        <rFont val="Arial"/>
        <family val="0"/>
        <charset val="1"/>
      </rPr>
      <t xml:space="preserve">CH4/N2O </t>
    </r>
    <r>
      <rPr>
        <sz val="9"/>
        <color rgb="FF1F2933"/>
        <rFont val="Noto Sans CJK SC"/>
        <family val="2"/>
      </rPr>
      <t xml:space="preserve">依車輛污染控制技術而異，非僅依燃料。本表預設「氧化觸媒」，選用理由須於報告說明；若車輛實況不符須改列。</t>
    </r>
  </si>
  <si>
    <r>
      <rPr>
        <sz val="9"/>
        <color rgb="FF1F2933"/>
        <rFont val="Arial"/>
        <family val="0"/>
        <charset val="1"/>
      </rPr>
      <t xml:space="preserve">5 </t>
    </r>
    <r>
      <rPr>
        <sz val="9"/>
        <color rgb="FF1F2933"/>
        <rFont val="Noto Sans CJK SC"/>
        <family val="2"/>
      </rPr>
      <t xml:space="preserve">石化甲烷 </t>
    </r>
    <r>
      <rPr>
        <sz val="9"/>
        <color rgb="FF1F2933"/>
        <rFont val="Arial"/>
        <family val="0"/>
        <charset val="1"/>
      </rPr>
      <t xml:space="preserve">GWP</t>
    </r>
  </si>
  <si>
    <t xml:space="preserve">附表四對化石燃料所排放之甲烷另訂 GWP=30（一般甲烷為28）。本表燃料類一律採 30，此為附表四註1之明文規定。</t>
  </si>
  <si>
    <r>
      <rPr>
        <sz val="9"/>
        <color rgb="FF1F2933"/>
        <rFont val="Arial"/>
        <family val="0"/>
        <charset val="1"/>
      </rPr>
      <t xml:space="preserve">6 </t>
    </r>
    <r>
      <rPr>
        <sz val="9"/>
        <color rgb="FF1F2933"/>
        <rFont val="Noto Sans CJK SC"/>
        <family val="2"/>
      </rPr>
      <t xml:space="preserve">電力係數逐年性</t>
    </r>
  </si>
  <si>
    <t xml:space="preserve">電力排碳係數逐年公告，須與盤查年度一致。0.474 為113年度值，不可用於其他年度。</t>
  </si>
  <si>
    <r>
      <rPr>
        <sz val="9"/>
        <color rgb="FF1F2933"/>
        <rFont val="Arial"/>
        <family val="0"/>
        <charset val="1"/>
      </rPr>
      <t xml:space="preserve">7 </t>
    </r>
    <r>
      <rPr>
        <sz val="9"/>
        <color rgb="FF1F2933"/>
        <rFont val="Noto Sans CJK SC"/>
        <family val="2"/>
      </rPr>
      <t xml:space="preserve">範疇界定</t>
    </r>
  </si>
  <si>
    <t xml:space="preserve">本系統僅涵蓋範疇一（固定燃燒、移動燃燒）與範疇二（外購電力）。不含製程排放（附表二）、逸散排放（附表三，含冷媒）、範疇三。</t>
  </si>
  <si>
    <r>
      <rPr>
        <sz val="9"/>
        <color rgb="FF1F2933"/>
        <rFont val="Arial"/>
        <family val="0"/>
        <charset val="1"/>
      </rPr>
      <t xml:space="preserve">8 </t>
    </r>
    <r>
      <rPr>
        <sz val="9"/>
        <color rgb="FF1F2933"/>
        <rFont val="Noto Sans CJK SC"/>
        <family val="2"/>
      </rPr>
      <t xml:space="preserve">單位換算假設</t>
    </r>
  </si>
  <si>
    <r>
      <rPr>
        <sz val="9"/>
        <color rgb="FF1F2933"/>
        <rFont val="Arial"/>
        <family val="0"/>
        <charset val="1"/>
      </rPr>
      <t xml:space="preserve">LPG </t>
    </r>
    <r>
      <rPr>
        <sz val="9"/>
        <color rgb="FF1F2933"/>
        <rFont val="Noto Sans CJK SC"/>
        <family val="2"/>
      </rPr>
      <t xml:space="preserve">若以公斤計價需另取密度換算；瓦斯帳單單位需確認為立方公尺或「度」，不可臆測。</t>
    </r>
  </si>
  <si>
    <t xml:space="preserve">【推導公式】</t>
  </si>
  <si>
    <t xml:space="preserve">每單位係數</t>
  </si>
  <si>
    <r>
      <rPr>
        <sz val="9"/>
        <color rgb="FF1F2933"/>
        <rFont val="Arial"/>
        <family val="0"/>
        <charset val="1"/>
      </rPr>
      <t xml:space="preserve">kg</t>
    </r>
    <r>
      <rPr>
        <sz val="9"/>
        <color rgb="FF1F2933"/>
        <rFont val="Noto Sans CJK SC"/>
        <family val="2"/>
      </rPr>
      <t xml:space="preserve">氣體</t>
    </r>
    <r>
      <rPr>
        <sz val="9"/>
        <color rgb="FF1F2933"/>
        <rFont val="Arial"/>
        <family val="0"/>
        <charset val="1"/>
      </rPr>
      <t xml:space="preserve">/</t>
    </r>
    <r>
      <rPr>
        <sz val="9"/>
        <color rgb="FF1F2933"/>
        <rFont val="Noto Sans CJK SC"/>
        <family val="2"/>
      </rPr>
      <t xml:space="preserve">活動單位 ＝ 公告係數</t>
    </r>
    <r>
      <rPr>
        <sz val="9"/>
        <color rgb="FF1F2933"/>
        <rFont val="Arial"/>
        <family val="0"/>
        <charset val="1"/>
      </rPr>
      <t xml:space="preserve">(kg/TJ) × 4.1868E-9 (TJ/kcal) × </t>
    </r>
    <r>
      <rPr>
        <sz val="9"/>
        <color rgb="FF1F2933"/>
        <rFont val="Noto Sans CJK SC"/>
        <family val="2"/>
      </rPr>
      <t xml:space="preserve">熱值</t>
    </r>
    <r>
      <rPr>
        <sz val="9"/>
        <color rgb="FF1F2933"/>
        <rFont val="Arial"/>
        <family val="0"/>
        <charset val="1"/>
      </rPr>
      <t xml:space="preserve">(kcal/</t>
    </r>
    <r>
      <rPr>
        <sz val="9"/>
        <color rgb="FF1F2933"/>
        <rFont val="Noto Sans CJK SC"/>
        <family val="2"/>
      </rPr>
      <t xml:space="preserve">活動單位</t>
    </r>
    <r>
      <rPr>
        <sz val="9"/>
        <color rgb="FF1F2933"/>
        <rFont val="Arial"/>
        <family val="0"/>
        <charset val="1"/>
      </rPr>
      <t xml:space="preserve">)</t>
    </r>
  </si>
  <si>
    <t xml:space="preserve">合計係數</t>
  </si>
  <si>
    <r>
      <rPr>
        <sz val="9"/>
        <color rgb="FF1F2933"/>
        <rFont val="Arial"/>
        <family val="0"/>
        <charset val="1"/>
      </rPr>
      <t xml:space="preserve">kgCO2e/</t>
    </r>
    <r>
      <rPr>
        <sz val="9"/>
        <color rgb="FF1F2933"/>
        <rFont val="Noto Sans CJK SC"/>
        <family val="2"/>
      </rPr>
      <t xml:space="preserve">活動單位 ＝ </t>
    </r>
    <r>
      <rPr>
        <sz val="9"/>
        <color rgb="FF1F2933"/>
        <rFont val="Arial"/>
        <family val="0"/>
        <charset val="1"/>
      </rPr>
      <t xml:space="preserve">CO2</t>
    </r>
    <r>
      <rPr>
        <sz val="9"/>
        <color rgb="FF1F2933"/>
        <rFont val="Noto Sans CJK SC"/>
        <family val="2"/>
      </rPr>
      <t xml:space="preserve">係數</t>
    </r>
    <r>
      <rPr>
        <sz val="9"/>
        <color rgb="FF1F2933"/>
        <rFont val="Arial"/>
        <family val="0"/>
        <charset val="1"/>
      </rPr>
      <t xml:space="preserve">×1 + CH4</t>
    </r>
    <r>
      <rPr>
        <sz val="9"/>
        <color rgb="FF1F2933"/>
        <rFont val="Noto Sans CJK SC"/>
        <family val="2"/>
      </rPr>
      <t xml:space="preserve">係數</t>
    </r>
    <r>
      <rPr>
        <sz val="9"/>
        <color rgb="FF1F2933"/>
        <rFont val="Arial"/>
        <family val="0"/>
        <charset val="1"/>
      </rPr>
      <t xml:space="preserve">×GWP_CH4 + N2O</t>
    </r>
    <r>
      <rPr>
        <sz val="9"/>
        <color rgb="FF1F2933"/>
        <rFont val="Noto Sans CJK SC"/>
        <family val="2"/>
      </rPr>
      <t xml:space="preserve">係數</t>
    </r>
    <r>
      <rPr>
        <sz val="9"/>
        <color rgb="FF1F2933"/>
        <rFont val="Arial"/>
        <family val="0"/>
        <charset val="1"/>
      </rPr>
      <t xml:space="preserve">×GWP_N2O</t>
    </r>
  </si>
  <si>
    <t xml:space="preserve">電力（例外）</t>
  </si>
  <si>
    <t xml:space="preserve">電力係數已是合併 CO2e 值，直接乘活動數據，不得再乘 GWP。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</si>
</sst>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yyyy\-mm\-dd"/>
    <numFmt numFmtId="166" formatCode="#,##0.00"/>
    <numFmt numFmtId="167" formatCode="0.0000"/>
    <numFmt numFmtId="168" formatCode="0.000000"/>
    <numFmt numFmtId="169" formatCode="#,##0.0000"/>
    <numFmt numFmtId="170" formatCode="#,##0.000000"/>
    <numFmt numFmtId="171" formatCode="0"/>
    <numFmt numFmtId="172" formatCode="0.0%"/>
    <numFmt numFmtId="173" formatCode="0.00%"/>
    <numFmt numFmtId="174" formatCode="0.0000E+00"/>
    <numFmt numFmtId="175" formatCode="0.00000000"/>
  </numFmts>
  <fonts count="4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2933"/>
      <name val="Noto Sans CJK SC"/>
      <family val="2"/>
    </font>
    <font>
      <i val="true"/>
      <sz val="9"/>
      <color rgb="FF9C2A00"/>
      <name val="Noto Sans CJK SC"/>
      <family val="2"/>
    </font>
    <font>
      <b val="true"/>
      <sz val="10"/>
      <color rgb="FFFFFFFF"/>
      <name val="Noto Sans CJK SC"/>
      <family val="2"/>
    </font>
    <font>
      <sz val="9"/>
      <color rgb="FF1F2933"/>
      <name val="Noto Sans CJK SC"/>
      <family val="2"/>
    </font>
    <font>
      <sz val="9"/>
      <color rgb="FF0000FF"/>
      <name val="Noto Sans CJK SC"/>
      <family val="2"/>
    </font>
    <font>
      <sz val="9"/>
      <color rgb="FF0000FF"/>
      <name val="Arial"/>
      <family val="0"/>
      <charset val="1"/>
    </font>
    <font>
      <sz val="9"/>
      <color rgb="FF1F2933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Arial"/>
      <family val="0"/>
      <charset val="1"/>
    </font>
    <font>
      <i val="true"/>
      <sz val="9"/>
      <color rgb="FF9C2A00"/>
      <name val="Arial"/>
      <family val="0"/>
      <charset val="1"/>
    </font>
    <font>
      <b val="true"/>
      <sz val="15"/>
      <color rgb="FF1F2933"/>
      <name val="Noto Sans CJK SC"/>
      <family val="2"/>
      <charset val="1"/>
    </font>
    <font>
      <sz val="9"/>
      <color rgb="FF6E756F"/>
      <name val="Noto Sans CJK SC"/>
      <family val="2"/>
      <charset val="1"/>
    </font>
    <font>
      <b val="true"/>
      <sz val="9"/>
      <color rgb="FF0000FF"/>
      <name val="Arial"/>
      <family val="0"/>
      <charset val="1"/>
    </font>
    <font>
      <i val="true"/>
      <sz val="9"/>
      <color rgb="FF9C2A00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Noto Sans CJK SC"/>
      <family val="2"/>
      <charset val="1"/>
    </font>
    <font>
      <sz val="9"/>
      <color rgb="FF0000FF"/>
      <name val="Noto Sans CJK SC"/>
      <family val="2"/>
      <charset val="1"/>
    </font>
    <font>
      <b val="true"/>
      <sz val="9"/>
      <color rgb="FF1F2933"/>
      <name val="Arial"/>
      <family val="0"/>
      <charset val="1"/>
    </font>
    <font>
      <b val="true"/>
      <sz val="12"/>
      <color rgb="FF1F2933"/>
      <name val="Noto Sans CJK SC"/>
      <family val="2"/>
      <charset val="1"/>
    </font>
    <font>
      <sz val="10"/>
      <color rgb="FF1F2933"/>
      <name val="Noto Sans CJK SC"/>
      <family val="2"/>
      <charset val="1"/>
    </font>
    <font>
      <b val="true"/>
      <sz val="10"/>
      <color rgb="FF1F2933"/>
      <name val="Arial"/>
      <family val="0"/>
      <charset val="1"/>
    </font>
    <font>
      <b val="true"/>
      <sz val="10"/>
      <color rgb="FF1F2933"/>
      <name val="Noto Sans CJK SC"/>
      <family val="2"/>
      <charset val="1"/>
    </font>
    <font>
      <sz val="9"/>
      <color rgb="FF1F2933"/>
      <name val="Noto Sans CJK SC"/>
      <family val="2"/>
      <charset val="1"/>
    </font>
    <font>
      <i val="true"/>
      <sz val="9"/>
      <color rgb="FF6E756F"/>
      <name val="Noto Sans CJK SC"/>
      <family val="2"/>
    </font>
    <font>
      <i val="true"/>
      <sz val="9"/>
      <color rgb="FF6E756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color theme="1"/>
      <name val="Noto Sans CJK SC"/>
      <family val="2"/>
    </font>
    <font>
      <sz val="8"/>
      <color rgb="FF9C2A00"/>
      <name val="Noto Sans CJK SC"/>
      <family val="2"/>
    </font>
    <font>
      <sz val="8"/>
      <color rgb="FF9C2A00"/>
      <name val="Arial"/>
      <family val="0"/>
      <charset val="1"/>
    </font>
    <font>
      <sz val="8"/>
      <color rgb="FF6E756F"/>
      <name val="Noto Sans CJK SC"/>
      <family val="2"/>
    </font>
    <font>
      <sz val="8"/>
      <color rgb="FF6E756F"/>
      <name val="Arial"/>
      <family val="0"/>
      <charset val="1"/>
    </font>
    <font>
      <b val="true"/>
      <sz val="9"/>
      <color rgb="FF1F2933"/>
      <name val="Noto Sans CJK SC"/>
      <family val="2"/>
    </font>
    <font>
      <sz val="9"/>
      <color rgb="FF6E756F"/>
      <name val="Arial"/>
      <family val="0"/>
      <charset val="1"/>
    </font>
    <font>
      <sz val="9"/>
      <color rgb="FF6E756F"/>
      <name val="Noto Sans CJK SC"/>
      <family val="2"/>
    </font>
    <font>
      <b val="true"/>
      <sz val="14"/>
      <color rgb="FF1F2933"/>
      <name val="Noto Sans CJK SC"/>
      <family val="2"/>
      <charset val="1"/>
    </font>
    <font>
      <sz val="9"/>
      <color rgb="FF9C2A00"/>
      <name val="Noto Sans CJK SC"/>
      <family val="2"/>
      <charset val="1"/>
    </font>
    <font>
      <b val="true"/>
      <sz val="9"/>
      <color rgb="FF1F2933"/>
      <name val="Noto Sans CJK SC"/>
      <family val="2"/>
      <charset val="1"/>
    </font>
    <font>
      <i val="true"/>
      <sz val="9"/>
      <color rgb="FF6E756F"/>
      <name val="Noto Sans CJK SC"/>
      <family val="2"/>
      <charset val="1"/>
    </font>
    <font>
      <b val="true"/>
      <sz val="14"/>
      <color rgb="FF1F2933"/>
      <name val="Noto Sans CJK SC"/>
      <family val="2"/>
    </font>
    <font>
      <b val="true"/>
      <sz val="9"/>
      <color rgb="FF9C2A00"/>
      <name val="Arial"/>
      <family val="0"/>
      <charset val="1"/>
    </font>
    <font>
      <b val="true"/>
      <sz val="9"/>
      <color rgb="FF9C2A00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2F4858"/>
        <bgColor rgb="FF4A3B6B"/>
      </patternFill>
    </fill>
    <fill>
      <patternFill patternType="solid">
        <fgColor rgb="FFFFF2CC"/>
        <bgColor rgb="FFE8E9E5"/>
      </patternFill>
    </fill>
    <fill>
      <patternFill patternType="solid">
        <fgColor rgb="FF1F2933"/>
        <bgColor rgb="FF333300"/>
      </patternFill>
    </fill>
    <fill>
      <patternFill patternType="solid">
        <fgColor rgb="FFE8E9E5"/>
        <bgColor rgb="FFFFF2CC"/>
      </patternFill>
    </fill>
    <fill>
      <patternFill patternType="solid">
        <fgColor rgb="FF7A4419"/>
        <bgColor rgb="FF9C2A00"/>
      </patternFill>
    </fill>
    <fill>
      <patternFill patternType="solid">
        <fgColor rgb="FF1F5E66"/>
        <bgColor rgb="FF2F4858"/>
      </patternFill>
    </fill>
    <fill>
      <patternFill patternType="solid">
        <fgColor rgb="FF5A5F52"/>
        <bgColor rgb="FF6E756F"/>
      </patternFill>
    </fill>
    <fill>
      <patternFill patternType="solid">
        <fgColor rgb="FF4A3B6B"/>
        <bgColor rgb="FF2F485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2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2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5E66"/>
      <rgbColor rgb="FFBFBFBF"/>
      <rgbColor rgb="FF6E756F"/>
      <rgbColor rgb="FF9999FF"/>
      <rgbColor rgb="FF7A4419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E9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F52"/>
      <rgbColor rgb="FF969696"/>
      <rgbColor rgb="FF2F4858"/>
      <rgbColor rgb="FF339966"/>
      <rgbColor rgb="FF003300"/>
      <rgbColor rgb="FF333300"/>
      <rgbColor rgb="FF9C2A00"/>
      <rgbColor rgb="FF993366"/>
      <rgbColor rgb="FF4A3B6B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3" min="3" style="0" width="48"/>
  </cols>
  <sheetData>
    <row r="1" customFormat="false" ht="18.5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8" hidden="false" customHeight="true" outlineLevel="0" collapsed="false">
      <c r="A5" s="4" t="s">
        <v>3</v>
      </c>
      <c r="B5" s="5" t="s">
        <v>4</v>
      </c>
      <c r="C5" s="6" t="s">
        <v>5</v>
      </c>
    </row>
    <row r="6" customFormat="false" ht="18" hidden="false" customHeight="true" outlineLevel="0" collapsed="false">
      <c r="A6" s="4" t="s">
        <v>6</v>
      </c>
      <c r="B6" s="5" t="s">
        <v>7</v>
      </c>
      <c r="C6" s="6" t="s">
        <v>8</v>
      </c>
    </row>
    <row r="7" customFormat="false" ht="18" hidden="false" customHeight="true" outlineLevel="0" collapsed="false">
      <c r="A7" s="4" t="s">
        <v>9</v>
      </c>
      <c r="B7" s="5" t="s">
        <v>7</v>
      </c>
      <c r="C7" s="6" t="s">
        <v>10</v>
      </c>
    </row>
    <row r="8" customFormat="false" ht="18" hidden="false" customHeight="true" outlineLevel="0" collapsed="false">
      <c r="A8" s="4" t="s">
        <v>11</v>
      </c>
      <c r="B8" s="7" t="s">
        <v>12</v>
      </c>
      <c r="C8" s="6" t="s">
        <v>13</v>
      </c>
    </row>
    <row r="9" customFormat="false" ht="18" hidden="false" customHeight="true" outlineLevel="0" collapsed="false">
      <c r="A9" s="4" t="s">
        <v>14</v>
      </c>
      <c r="B9" s="7" t="s">
        <v>12</v>
      </c>
      <c r="C9" s="6" t="s">
        <v>15</v>
      </c>
    </row>
    <row r="10" customFormat="false" ht="15" hidden="false" customHeight="false" outlineLevel="0" collapsed="false">
      <c r="A10" s="3" t="s">
        <v>16</v>
      </c>
      <c r="B10" s="3"/>
      <c r="C10" s="3"/>
    </row>
    <row r="11" customFormat="false" ht="18" hidden="false" customHeight="true" outlineLevel="0" collapsed="false">
      <c r="A11" s="4" t="s">
        <v>17</v>
      </c>
      <c r="B11" s="5" t="s">
        <v>18</v>
      </c>
      <c r="C11" s="6" t="s">
        <v>19</v>
      </c>
    </row>
    <row r="12" customFormat="false" ht="18" hidden="false" customHeight="true" outlineLevel="0" collapsed="false">
      <c r="A12" s="4" t="s">
        <v>20</v>
      </c>
      <c r="B12" s="5" t="s">
        <v>21</v>
      </c>
      <c r="C12" s="6" t="s">
        <v>22</v>
      </c>
    </row>
    <row r="13" customFormat="false" ht="18" hidden="false" customHeight="true" outlineLevel="0" collapsed="false">
      <c r="A13" s="4" t="s">
        <v>23</v>
      </c>
      <c r="B13" s="5" t="s">
        <v>24</v>
      </c>
      <c r="C13" s="6"/>
    </row>
    <row r="14" customFormat="false" ht="18" hidden="false" customHeight="true" outlineLevel="0" collapsed="false">
      <c r="A14" s="4" t="s">
        <v>25</v>
      </c>
      <c r="B14" s="7" t="s">
        <v>26</v>
      </c>
      <c r="C14" s="6" t="s">
        <v>27</v>
      </c>
    </row>
    <row r="15" customFormat="false" ht="18" hidden="false" customHeight="true" outlineLevel="0" collapsed="false">
      <c r="A15" s="4" t="s">
        <v>28</v>
      </c>
      <c r="B15" s="5" t="s">
        <v>7</v>
      </c>
      <c r="C15" s="6"/>
    </row>
    <row r="16" customFormat="false" ht="15" hidden="false" customHeight="false" outlineLevel="0" collapsed="false">
      <c r="A16" s="3" t="s">
        <v>29</v>
      </c>
      <c r="B16" s="3"/>
      <c r="C16" s="3"/>
    </row>
    <row r="17" customFormat="false" ht="18" hidden="false" customHeight="true" outlineLevel="0" collapsed="false">
      <c r="A17" s="4" t="s">
        <v>30</v>
      </c>
      <c r="B17" s="5" t="s">
        <v>31</v>
      </c>
      <c r="C17" s="6" t="s">
        <v>32</v>
      </c>
    </row>
    <row r="18" customFormat="false" ht="18" hidden="false" customHeight="true" outlineLevel="0" collapsed="false">
      <c r="A18" s="4" t="s">
        <v>33</v>
      </c>
      <c r="B18" s="5" t="s">
        <v>34</v>
      </c>
      <c r="C18" s="6" t="s">
        <v>32</v>
      </c>
    </row>
    <row r="19" customFormat="false" ht="18" hidden="false" customHeight="true" outlineLevel="0" collapsed="false">
      <c r="A19" s="4" t="s">
        <v>35</v>
      </c>
      <c r="B19" s="5" t="s">
        <v>36</v>
      </c>
      <c r="C19" s="6" t="s">
        <v>37</v>
      </c>
    </row>
    <row r="20" customFormat="false" ht="15" hidden="false" customHeight="false" outlineLevel="0" collapsed="false">
      <c r="A20" s="3" t="s">
        <v>38</v>
      </c>
      <c r="B20" s="3" t="s">
        <v>39</v>
      </c>
      <c r="C20" s="3" t="s">
        <v>40</v>
      </c>
    </row>
    <row r="21" customFormat="false" ht="18" hidden="false" customHeight="true" outlineLevel="0" collapsed="false">
      <c r="A21" s="4" t="s">
        <v>41</v>
      </c>
      <c r="B21" s="5" t="s">
        <v>42</v>
      </c>
      <c r="C21" s="6" t="s">
        <v>43</v>
      </c>
    </row>
    <row r="22" customFormat="false" ht="31.5" hidden="false" customHeight="true" outlineLevel="0" collapsed="false">
      <c r="A22" s="4" t="s">
        <v>44</v>
      </c>
      <c r="B22" s="5" t="s">
        <v>45</v>
      </c>
      <c r="C22" s="6" t="s">
        <v>46</v>
      </c>
    </row>
    <row r="23" customFormat="false" ht="18" hidden="false" customHeight="true" outlineLevel="0" collapsed="false">
      <c r="A23" s="4" t="s">
        <v>47</v>
      </c>
      <c r="B23" s="5" t="s">
        <v>48</v>
      </c>
      <c r="C23" s="6" t="s">
        <v>49</v>
      </c>
    </row>
    <row r="24" customFormat="false" ht="18" hidden="false" customHeight="true" outlineLevel="0" collapsed="false">
      <c r="A24" s="4" t="s">
        <v>50</v>
      </c>
      <c r="B24" s="5" t="s">
        <v>51</v>
      </c>
      <c r="C24" s="6" t="s">
        <v>51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7" min="6" style="0" width="1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2" min="11" style="0" width="10"/>
    <col collapsed="false" customWidth="true" hidden="false" outlineLevel="0" max="13" min="13" style="0" width="12"/>
    <col collapsed="false" customWidth="true" hidden="false" outlineLevel="0" max="16" min="14" style="0" width="8"/>
    <col collapsed="false" customWidth="true" hidden="false" outlineLevel="0" max="17" min="17" style="0" width="19"/>
    <col collapsed="false" customWidth="true" hidden="false" outlineLevel="0" max="18" min="18" style="0" width="30"/>
  </cols>
  <sheetData>
    <row r="1" customFormat="false" ht="18.55" hidden="false" customHeight="false" outlineLevel="0" collapsed="false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2" t="s">
        <v>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33.75" hidden="false" customHeight="true" outlineLevel="0" collapsed="false">
      <c r="A3" s="8" t="s">
        <v>54</v>
      </c>
      <c r="B3" s="8" t="s">
        <v>55</v>
      </c>
      <c r="C3" s="8" t="s">
        <v>56</v>
      </c>
      <c r="D3" s="8" t="s">
        <v>57</v>
      </c>
      <c r="E3" s="8" t="s">
        <v>58</v>
      </c>
      <c r="F3" s="8" t="s">
        <v>59</v>
      </c>
      <c r="G3" s="8" t="s">
        <v>60</v>
      </c>
      <c r="H3" s="8" t="s">
        <v>61</v>
      </c>
      <c r="I3" s="8" t="s">
        <v>62</v>
      </c>
      <c r="J3" s="8" t="s">
        <v>63</v>
      </c>
      <c r="K3" s="8" t="s">
        <v>64</v>
      </c>
      <c r="L3" s="8" t="s">
        <v>65</v>
      </c>
      <c r="M3" s="8" t="s">
        <v>66</v>
      </c>
      <c r="N3" s="8" t="s">
        <v>67</v>
      </c>
      <c r="O3" s="8" t="s">
        <v>68</v>
      </c>
      <c r="P3" s="8" t="s">
        <v>69</v>
      </c>
      <c r="Q3" s="8" t="s">
        <v>70</v>
      </c>
      <c r="R3" s="8" t="s">
        <v>71</v>
      </c>
    </row>
    <row r="4" customFormat="false" ht="30" hidden="false" customHeight="true" outlineLevel="0" collapsed="false">
      <c r="A4" s="9" t="s">
        <v>72</v>
      </c>
      <c r="B4" s="10" t="s">
        <v>73</v>
      </c>
      <c r="C4" s="9" t="s">
        <v>74</v>
      </c>
      <c r="D4" s="9" t="s">
        <v>75</v>
      </c>
      <c r="E4" s="11" t="str">
        <f aca="false">IFERROR(INDEX(代碼表!$B$5:$B$10,MATCH($D4,代碼表!$A$5:$A$10,0)),"")</f>
        <v>非製造程序產出類別</v>
      </c>
      <c r="F4" s="9" t="s">
        <v>76</v>
      </c>
      <c r="G4" s="9" t="s">
        <v>77</v>
      </c>
      <c r="H4" s="11" t="str">
        <f aca="false">IFERROR(INDEX(代碼表!$E$5:$E$13,MATCH($G4,代碼表!$D$5:$D$13,0)),"")</f>
        <v>其他未歸類設施</v>
      </c>
      <c r="I4" s="9" t="s">
        <v>78</v>
      </c>
      <c r="J4" s="11" t="str">
        <f aca="false">IFERROR(INDEX(代碼表!$H$5:$H$12,MATCH($I4,代碼表!$G$5:$G$12,0)),"")</f>
        <v>外購台電電力</v>
      </c>
      <c r="K4" s="12" t="s">
        <v>79</v>
      </c>
      <c r="L4" s="12" t="s">
        <v>80</v>
      </c>
      <c r="M4" s="12" t="s">
        <v>81</v>
      </c>
      <c r="N4" s="13" t="s">
        <v>82</v>
      </c>
      <c r="O4" s="13"/>
      <c r="P4" s="13"/>
      <c r="Q4" s="9" t="s">
        <v>83</v>
      </c>
      <c r="R4" s="10" t="s">
        <v>84</v>
      </c>
    </row>
    <row r="5" customFormat="false" ht="30" hidden="false" customHeight="true" outlineLevel="0" collapsed="false">
      <c r="A5" s="9" t="s">
        <v>85</v>
      </c>
      <c r="B5" s="10" t="s">
        <v>86</v>
      </c>
      <c r="C5" s="9" t="s">
        <v>87</v>
      </c>
      <c r="D5" s="9" t="s">
        <v>88</v>
      </c>
      <c r="E5" s="11" t="str">
        <f aca="false">IFERROR(INDEX(代碼表!$B$5:$B$10,MATCH($D5,代碼表!$A$5:$A$10,0)),"")</f>
        <v>交通運輸活動</v>
      </c>
      <c r="F5" s="9" t="s">
        <v>89</v>
      </c>
      <c r="G5" s="9" t="s">
        <v>90</v>
      </c>
      <c r="H5" s="11" t="str">
        <f aca="false">IFERROR(INDEX(代碼表!$E$5:$E$13,MATCH($G5,代碼表!$D$5:$D$13,0)),"")</f>
        <v>汽油引擎</v>
      </c>
      <c r="I5" s="9" t="s">
        <v>91</v>
      </c>
      <c r="J5" s="11" t="str">
        <f aca="false">IFERROR(INDEX(代碼表!$H$5:$H$12,MATCH($I5,代碼表!$G$5:$G$12,0)),"")</f>
        <v>車用汽油</v>
      </c>
      <c r="K5" s="12" t="s">
        <v>79</v>
      </c>
      <c r="L5" s="12" t="s">
        <v>92</v>
      </c>
      <c r="M5" s="12" t="s">
        <v>93</v>
      </c>
      <c r="N5" s="13" t="s">
        <v>82</v>
      </c>
      <c r="O5" s="13" t="s">
        <v>82</v>
      </c>
      <c r="P5" s="13" t="s">
        <v>82</v>
      </c>
      <c r="Q5" s="9" t="s">
        <v>94</v>
      </c>
      <c r="R5" s="10" t="s">
        <v>95</v>
      </c>
    </row>
    <row r="6" customFormat="false" ht="30" hidden="false" customHeight="true" outlineLevel="0" collapsed="false">
      <c r="A6" s="9" t="s">
        <v>96</v>
      </c>
      <c r="B6" s="10" t="s">
        <v>97</v>
      </c>
      <c r="C6" s="9" t="s">
        <v>87</v>
      </c>
      <c r="D6" s="9" t="s">
        <v>88</v>
      </c>
      <c r="E6" s="11" t="str">
        <f aca="false">IFERROR(INDEX(代碼表!$B$5:$B$10,MATCH($D6,代碼表!$A$5:$A$10,0)),"")</f>
        <v>交通運輸活動</v>
      </c>
      <c r="F6" s="9" t="s">
        <v>98</v>
      </c>
      <c r="G6" s="9" t="s">
        <v>90</v>
      </c>
      <c r="H6" s="11" t="str">
        <f aca="false">IFERROR(INDEX(代碼表!$E$5:$E$13,MATCH($G6,代碼表!$D$5:$D$13,0)),"")</f>
        <v>汽油引擎</v>
      </c>
      <c r="I6" s="9" t="s">
        <v>91</v>
      </c>
      <c r="J6" s="11" t="str">
        <f aca="false">IFERROR(INDEX(代碼表!$H$5:$H$12,MATCH($I6,代碼表!$G$5:$G$12,0)),"")</f>
        <v>車用汽油</v>
      </c>
      <c r="K6" s="12" t="s">
        <v>79</v>
      </c>
      <c r="L6" s="12" t="s">
        <v>92</v>
      </c>
      <c r="M6" s="12" t="s">
        <v>93</v>
      </c>
      <c r="N6" s="13" t="s">
        <v>82</v>
      </c>
      <c r="O6" s="13" t="s">
        <v>82</v>
      </c>
      <c r="P6" s="13" t="s">
        <v>82</v>
      </c>
      <c r="Q6" s="9" t="s">
        <v>94</v>
      </c>
      <c r="R6" s="10" t="s">
        <v>99</v>
      </c>
    </row>
    <row r="7" customFormat="false" ht="30" hidden="false" customHeight="true" outlineLevel="0" collapsed="false">
      <c r="A7" s="9" t="s">
        <v>100</v>
      </c>
      <c r="B7" s="10" t="s">
        <v>101</v>
      </c>
      <c r="C7" s="9" t="s">
        <v>102</v>
      </c>
      <c r="D7" s="9" t="s">
        <v>103</v>
      </c>
      <c r="E7" s="11" t="str">
        <f aca="false">IFERROR(INDEX(代碼表!$B$5:$B$10,MATCH($D7,代碼表!$A$5:$A$10,0)),"")</f>
        <v>其他未分類製程</v>
      </c>
      <c r="F7" s="9" t="s">
        <v>104</v>
      </c>
      <c r="G7" s="9" t="s">
        <v>105</v>
      </c>
      <c r="H7" s="11" t="str">
        <f aca="false">IFERROR(INDEX(代碼表!$E$5:$E$13,MATCH($G7,代碼表!$D$5:$D$13,0)),"")</f>
        <v>燃氣鍋爐</v>
      </c>
      <c r="I7" s="9" t="s">
        <v>106</v>
      </c>
      <c r="J7" s="11" t="str">
        <f aca="false">IFERROR(INDEX(代碼表!$H$5:$H$12,MATCH($I7,代碼表!$G$5:$G$12,0)),"")</f>
        <v>天然氣</v>
      </c>
      <c r="K7" s="12" t="s">
        <v>79</v>
      </c>
      <c r="L7" s="12" t="s">
        <v>92</v>
      </c>
      <c r="M7" s="12" t="s">
        <v>107</v>
      </c>
      <c r="N7" s="13" t="s">
        <v>82</v>
      </c>
      <c r="O7" s="13" t="s">
        <v>82</v>
      </c>
      <c r="P7" s="13" t="s">
        <v>82</v>
      </c>
      <c r="Q7" s="9" t="s">
        <v>108</v>
      </c>
      <c r="R7" s="10" t="s">
        <v>109</v>
      </c>
    </row>
    <row r="8" customFormat="false" ht="30" hidden="false" customHeight="true" outlineLevel="0" collapsed="false">
      <c r="A8" s="9" t="s">
        <v>110</v>
      </c>
      <c r="B8" s="10" t="s">
        <v>111</v>
      </c>
      <c r="C8" s="9" t="s">
        <v>102</v>
      </c>
      <c r="D8" s="9" t="s">
        <v>103</v>
      </c>
      <c r="E8" s="11" t="str">
        <f aca="false">IFERROR(INDEX(代碼表!$B$5:$B$10,MATCH($D8,代碼表!$A$5:$A$10,0)),"")</f>
        <v>其他未分類製程</v>
      </c>
      <c r="F8" s="9" t="s">
        <v>112</v>
      </c>
      <c r="G8" s="9" t="s">
        <v>113</v>
      </c>
      <c r="H8" s="11" t="str">
        <f aca="false">IFERROR(INDEX(代碼表!$E$5:$E$13,MATCH($G8,代碼表!$D$5:$D$13,0)),"")</f>
        <v>發電機</v>
      </c>
      <c r="I8" s="9" t="s">
        <v>114</v>
      </c>
      <c r="J8" s="11" t="str">
        <f aca="false">IFERROR(INDEX(代碼表!$H$5:$H$12,MATCH($I8,代碼表!$G$5:$G$12,0)),"")</f>
        <v>柴油</v>
      </c>
      <c r="K8" s="12" t="s">
        <v>79</v>
      </c>
      <c r="L8" s="12" t="s">
        <v>92</v>
      </c>
      <c r="M8" s="12" t="s">
        <v>107</v>
      </c>
      <c r="N8" s="13" t="s">
        <v>82</v>
      </c>
      <c r="O8" s="13" t="s">
        <v>82</v>
      </c>
      <c r="P8" s="13" t="s">
        <v>82</v>
      </c>
      <c r="Q8" s="9" t="s">
        <v>115</v>
      </c>
      <c r="R8" s="10" t="s">
        <v>116</v>
      </c>
    </row>
    <row r="9" customFormat="false" ht="30" hidden="false" customHeight="true" outlineLevel="0" collapsed="false">
      <c r="A9" s="9"/>
      <c r="B9" s="10"/>
      <c r="C9" s="9"/>
      <c r="D9" s="9"/>
      <c r="E9" s="11" t="str">
        <f aca="false">IFERROR(INDEX(代碼表!$B$5:$B$10,MATCH($D9,代碼表!$A$5:$A$10,0)),"")</f>
        <v/>
      </c>
      <c r="F9" s="9"/>
      <c r="G9" s="9"/>
      <c r="H9" s="11" t="str">
        <f aca="false">IFERROR(INDEX(代碼表!$E$5:$E$13,MATCH($G9,代碼表!$D$5:$D$13,0)),"")</f>
        <v/>
      </c>
      <c r="I9" s="9"/>
      <c r="J9" s="11" t="str">
        <f aca="false">IFERROR(INDEX(代碼表!$H$5:$H$12,MATCH($I9,代碼表!$G$5:$G$12,0)),"")</f>
        <v/>
      </c>
      <c r="K9" s="12"/>
      <c r="L9" s="12"/>
      <c r="M9" s="12"/>
      <c r="N9" s="13"/>
      <c r="O9" s="13"/>
      <c r="P9" s="13"/>
      <c r="Q9" s="9"/>
      <c r="R9" s="10"/>
    </row>
    <row r="10" customFormat="false" ht="30" hidden="false" customHeight="true" outlineLevel="0" collapsed="false">
      <c r="A10" s="9"/>
      <c r="B10" s="10"/>
      <c r="C10" s="9"/>
      <c r="D10" s="9"/>
      <c r="E10" s="11" t="str">
        <f aca="false">IFERROR(INDEX(代碼表!$B$5:$B$10,MATCH($D10,代碼表!$A$5:$A$10,0)),"")</f>
        <v/>
      </c>
      <c r="F10" s="9"/>
      <c r="G10" s="9"/>
      <c r="H10" s="11" t="str">
        <f aca="false">IFERROR(INDEX(代碼表!$E$5:$E$13,MATCH($G10,代碼表!$D$5:$D$13,0)),"")</f>
        <v/>
      </c>
      <c r="I10" s="9"/>
      <c r="J10" s="11" t="str">
        <f aca="false">IFERROR(INDEX(代碼表!$H$5:$H$12,MATCH($I10,代碼表!$G$5:$G$12,0)),"")</f>
        <v/>
      </c>
      <c r="K10" s="12"/>
      <c r="L10" s="12"/>
      <c r="M10" s="12"/>
      <c r="N10" s="13"/>
      <c r="O10" s="13"/>
      <c r="P10" s="13"/>
      <c r="Q10" s="9"/>
      <c r="R10" s="10"/>
    </row>
    <row r="11" customFormat="false" ht="30" hidden="false" customHeight="true" outlineLevel="0" collapsed="false">
      <c r="A11" s="9"/>
      <c r="B11" s="10"/>
      <c r="C11" s="9"/>
      <c r="D11" s="9"/>
      <c r="E11" s="11" t="str">
        <f aca="false">IFERROR(INDEX(代碼表!$B$5:$B$10,MATCH($D11,代碼表!$A$5:$A$10,0)),"")</f>
        <v/>
      </c>
      <c r="F11" s="9"/>
      <c r="G11" s="9"/>
      <c r="H11" s="11" t="str">
        <f aca="false">IFERROR(INDEX(代碼表!$E$5:$E$13,MATCH($G11,代碼表!$D$5:$D$13,0)),"")</f>
        <v/>
      </c>
      <c r="I11" s="9"/>
      <c r="J11" s="11" t="str">
        <f aca="false">IFERROR(INDEX(代碼表!$H$5:$H$12,MATCH($I11,代碼表!$G$5:$G$12,0)),"")</f>
        <v/>
      </c>
      <c r="K11" s="12"/>
      <c r="L11" s="12"/>
      <c r="M11" s="12"/>
      <c r="N11" s="13"/>
      <c r="O11" s="13"/>
      <c r="P11" s="13"/>
      <c r="Q11" s="9"/>
      <c r="R11" s="10"/>
    </row>
    <row r="12" customFormat="false" ht="30" hidden="false" customHeight="true" outlineLevel="0" collapsed="false">
      <c r="A12" s="9"/>
      <c r="B12" s="10"/>
      <c r="C12" s="9"/>
      <c r="D12" s="9"/>
      <c r="E12" s="11" t="str">
        <f aca="false">IFERROR(INDEX(代碼表!$B$5:$B$10,MATCH($D12,代碼表!$A$5:$A$10,0)),"")</f>
        <v/>
      </c>
      <c r="F12" s="9"/>
      <c r="G12" s="9"/>
      <c r="H12" s="11" t="str">
        <f aca="false">IFERROR(INDEX(代碼表!$E$5:$E$13,MATCH($G12,代碼表!$D$5:$D$13,0)),"")</f>
        <v/>
      </c>
      <c r="I12" s="9"/>
      <c r="J12" s="11" t="str">
        <f aca="false">IFERROR(INDEX(代碼表!$H$5:$H$12,MATCH($I12,代碼表!$G$5:$G$12,0)),"")</f>
        <v/>
      </c>
      <c r="K12" s="12"/>
      <c r="L12" s="12"/>
      <c r="M12" s="12"/>
      <c r="N12" s="13"/>
      <c r="O12" s="13"/>
      <c r="P12" s="13"/>
      <c r="Q12" s="9"/>
      <c r="R12" s="10"/>
    </row>
    <row r="13" customFormat="false" ht="30" hidden="false" customHeight="true" outlineLevel="0" collapsed="false">
      <c r="A13" s="9"/>
      <c r="B13" s="10"/>
      <c r="C13" s="9"/>
      <c r="D13" s="9"/>
      <c r="E13" s="11" t="str">
        <f aca="false">IFERROR(INDEX(代碼表!$B$5:$B$10,MATCH($D13,代碼表!$A$5:$A$10,0)),"")</f>
        <v/>
      </c>
      <c r="F13" s="9"/>
      <c r="G13" s="9"/>
      <c r="H13" s="11" t="str">
        <f aca="false">IFERROR(INDEX(代碼表!$E$5:$E$13,MATCH($G13,代碼表!$D$5:$D$13,0)),"")</f>
        <v/>
      </c>
      <c r="I13" s="9"/>
      <c r="J13" s="11" t="str">
        <f aca="false">IFERROR(INDEX(代碼表!$H$5:$H$12,MATCH($I13,代碼表!$G$5:$G$12,0)),"")</f>
        <v/>
      </c>
      <c r="K13" s="12"/>
      <c r="L13" s="12"/>
      <c r="M13" s="12"/>
      <c r="N13" s="13"/>
      <c r="O13" s="13"/>
      <c r="P13" s="13"/>
      <c r="Q13" s="9"/>
      <c r="R13" s="10"/>
    </row>
    <row r="14" customFormat="false" ht="30" hidden="false" customHeight="true" outlineLevel="0" collapsed="false">
      <c r="A14" s="9"/>
      <c r="B14" s="10"/>
      <c r="C14" s="9"/>
      <c r="D14" s="9"/>
      <c r="E14" s="11" t="str">
        <f aca="false">IFERROR(INDEX(代碼表!$B$5:$B$10,MATCH($D14,代碼表!$A$5:$A$10,0)),"")</f>
        <v/>
      </c>
      <c r="F14" s="9"/>
      <c r="G14" s="9"/>
      <c r="H14" s="11" t="str">
        <f aca="false">IFERROR(INDEX(代碼表!$E$5:$E$13,MATCH($G14,代碼表!$D$5:$D$13,0)),"")</f>
        <v/>
      </c>
      <c r="I14" s="9"/>
      <c r="J14" s="11" t="str">
        <f aca="false">IFERROR(INDEX(代碼表!$H$5:$H$12,MATCH($I14,代碼表!$G$5:$G$12,0)),"")</f>
        <v/>
      </c>
      <c r="K14" s="12"/>
      <c r="L14" s="12"/>
      <c r="M14" s="12"/>
      <c r="N14" s="13"/>
      <c r="O14" s="13"/>
      <c r="P14" s="13"/>
      <c r="Q14" s="9"/>
      <c r="R14" s="10"/>
    </row>
    <row r="15" customFormat="false" ht="30" hidden="false" customHeight="true" outlineLevel="0" collapsed="false">
      <c r="A15" s="9"/>
      <c r="B15" s="10"/>
      <c r="C15" s="9"/>
      <c r="D15" s="9"/>
      <c r="E15" s="11" t="str">
        <f aca="false">IFERROR(INDEX(代碼表!$B$5:$B$10,MATCH($D15,代碼表!$A$5:$A$10,0)),"")</f>
        <v/>
      </c>
      <c r="F15" s="9"/>
      <c r="G15" s="9"/>
      <c r="H15" s="11" t="str">
        <f aca="false">IFERROR(INDEX(代碼表!$E$5:$E$13,MATCH($G15,代碼表!$D$5:$D$13,0)),"")</f>
        <v/>
      </c>
      <c r="I15" s="9"/>
      <c r="J15" s="11" t="str">
        <f aca="false">IFERROR(INDEX(代碼表!$H$5:$H$12,MATCH($I15,代碼表!$G$5:$G$12,0)),"")</f>
        <v/>
      </c>
      <c r="K15" s="12"/>
      <c r="L15" s="12"/>
      <c r="M15" s="12"/>
      <c r="N15" s="13"/>
      <c r="O15" s="13"/>
      <c r="P15" s="13"/>
      <c r="Q15" s="9"/>
      <c r="R15" s="10"/>
    </row>
    <row r="16" customFormat="false" ht="30" hidden="false" customHeight="true" outlineLevel="0" collapsed="false">
      <c r="A16" s="9"/>
      <c r="B16" s="10"/>
      <c r="C16" s="9"/>
      <c r="D16" s="9"/>
      <c r="E16" s="11" t="str">
        <f aca="false">IFERROR(INDEX(代碼表!$B$5:$B$10,MATCH($D16,代碼表!$A$5:$A$10,0)),"")</f>
        <v/>
      </c>
      <c r="F16" s="9"/>
      <c r="G16" s="9"/>
      <c r="H16" s="11" t="str">
        <f aca="false">IFERROR(INDEX(代碼表!$E$5:$E$13,MATCH($G16,代碼表!$D$5:$D$13,0)),"")</f>
        <v/>
      </c>
      <c r="I16" s="9"/>
      <c r="J16" s="11" t="str">
        <f aca="false">IFERROR(INDEX(代碼表!$H$5:$H$12,MATCH($I16,代碼表!$G$5:$G$12,0)),"")</f>
        <v/>
      </c>
      <c r="K16" s="12"/>
      <c r="L16" s="12"/>
      <c r="M16" s="12"/>
      <c r="N16" s="13"/>
      <c r="O16" s="13"/>
      <c r="P16" s="13"/>
      <c r="Q16" s="9"/>
      <c r="R16" s="10"/>
    </row>
    <row r="17" customFormat="false" ht="30" hidden="false" customHeight="true" outlineLevel="0" collapsed="false">
      <c r="A17" s="9"/>
      <c r="B17" s="10"/>
      <c r="C17" s="9"/>
      <c r="D17" s="9"/>
      <c r="E17" s="11" t="str">
        <f aca="false">IFERROR(INDEX(代碼表!$B$5:$B$10,MATCH($D17,代碼表!$A$5:$A$10,0)),"")</f>
        <v/>
      </c>
      <c r="F17" s="9"/>
      <c r="G17" s="9"/>
      <c r="H17" s="11" t="str">
        <f aca="false">IFERROR(INDEX(代碼表!$E$5:$E$13,MATCH($G17,代碼表!$D$5:$D$13,0)),"")</f>
        <v/>
      </c>
      <c r="I17" s="9"/>
      <c r="J17" s="11" t="str">
        <f aca="false">IFERROR(INDEX(代碼表!$H$5:$H$12,MATCH($I17,代碼表!$G$5:$G$12,0)),"")</f>
        <v/>
      </c>
      <c r="K17" s="12"/>
      <c r="L17" s="12"/>
      <c r="M17" s="12"/>
      <c r="N17" s="13"/>
      <c r="O17" s="13"/>
      <c r="P17" s="13"/>
      <c r="Q17" s="9"/>
      <c r="R17" s="10"/>
    </row>
    <row r="18" customFormat="false" ht="30" hidden="false" customHeight="true" outlineLevel="0" collapsed="false">
      <c r="A18" s="9"/>
      <c r="B18" s="10"/>
      <c r="C18" s="9"/>
      <c r="D18" s="9"/>
      <c r="E18" s="11" t="str">
        <f aca="false">IFERROR(INDEX(代碼表!$B$5:$B$10,MATCH($D18,代碼表!$A$5:$A$10,0)),"")</f>
        <v/>
      </c>
      <c r="F18" s="9"/>
      <c r="G18" s="9"/>
      <c r="H18" s="11" t="str">
        <f aca="false">IFERROR(INDEX(代碼表!$E$5:$E$13,MATCH($G18,代碼表!$D$5:$D$13,0)),"")</f>
        <v/>
      </c>
      <c r="I18" s="9"/>
      <c r="J18" s="11" t="str">
        <f aca="false">IFERROR(INDEX(代碼表!$H$5:$H$12,MATCH($I18,代碼表!$G$5:$G$12,0)),"")</f>
        <v/>
      </c>
      <c r="K18" s="12"/>
      <c r="L18" s="12"/>
      <c r="M18" s="12"/>
      <c r="N18" s="13"/>
      <c r="O18" s="13"/>
      <c r="P18" s="13"/>
      <c r="Q18" s="9"/>
      <c r="R18" s="10"/>
    </row>
    <row r="19" customFormat="false" ht="30" hidden="false" customHeight="true" outlineLevel="0" collapsed="false">
      <c r="A19" s="9"/>
      <c r="B19" s="10"/>
      <c r="C19" s="9"/>
      <c r="D19" s="9"/>
      <c r="E19" s="11" t="str">
        <f aca="false">IFERROR(INDEX(代碼表!$B$5:$B$10,MATCH($D19,代碼表!$A$5:$A$10,0)),"")</f>
        <v/>
      </c>
      <c r="F19" s="9"/>
      <c r="G19" s="9"/>
      <c r="H19" s="11" t="str">
        <f aca="false">IFERROR(INDEX(代碼表!$E$5:$E$13,MATCH($G19,代碼表!$D$5:$D$13,0)),"")</f>
        <v/>
      </c>
      <c r="I19" s="9"/>
      <c r="J19" s="11" t="str">
        <f aca="false">IFERROR(INDEX(代碼表!$H$5:$H$12,MATCH($I19,代碼表!$G$5:$G$12,0)),"")</f>
        <v/>
      </c>
      <c r="K19" s="12"/>
      <c r="L19" s="12"/>
      <c r="M19" s="12"/>
      <c r="N19" s="13"/>
      <c r="O19" s="13"/>
      <c r="P19" s="13"/>
      <c r="Q19" s="9"/>
      <c r="R19" s="10"/>
    </row>
    <row r="20" customFormat="false" ht="30" hidden="false" customHeight="true" outlineLevel="0" collapsed="false">
      <c r="A20" s="9"/>
      <c r="B20" s="10"/>
      <c r="C20" s="9"/>
      <c r="D20" s="9"/>
      <c r="E20" s="11" t="str">
        <f aca="false">IFERROR(INDEX(代碼表!$B$5:$B$10,MATCH($D20,代碼表!$A$5:$A$10,0)),"")</f>
        <v/>
      </c>
      <c r="F20" s="9"/>
      <c r="G20" s="9"/>
      <c r="H20" s="11" t="str">
        <f aca="false">IFERROR(INDEX(代碼表!$E$5:$E$13,MATCH($G20,代碼表!$D$5:$D$13,0)),"")</f>
        <v/>
      </c>
      <c r="I20" s="9"/>
      <c r="J20" s="11" t="str">
        <f aca="false">IFERROR(INDEX(代碼表!$H$5:$H$12,MATCH($I20,代碼表!$G$5:$G$12,0)),"")</f>
        <v/>
      </c>
      <c r="K20" s="12"/>
      <c r="L20" s="12"/>
      <c r="M20" s="12"/>
      <c r="N20" s="13"/>
      <c r="O20" s="13"/>
      <c r="P20" s="13"/>
      <c r="Q20" s="9"/>
      <c r="R20" s="10"/>
    </row>
    <row r="21" customFormat="false" ht="30" hidden="false" customHeight="true" outlineLevel="0" collapsed="false">
      <c r="A21" s="9"/>
      <c r="B21" s="10"/>
      <c r="C21" s="9"/>
      <c r="D21" s="9"/>
      <c r="E21" s="11" t="str">
        <f aca="false">IFERROR(INDEX(代碼表!$B$5:$B$10,MATCH($D21,代碼表!$A$5:$A$10,0)),"")</f>
        <v/>
      </c>
      <c r="F21" s="9"/>
      <c r="G21" s="9"/>
      <c r="H21" s="11" t="str">
        <f aca="false">IFERROR(INDEX(代碼表!$E$5:$E$13,MATCH($G21,代碼表!$D$5:$D$13,0)),"")</f>
        <v/>
      </c>
      <c r="I21" s="9"/>
      <c r="J21" s="11" t="str">
        <f aca="false">IFERROR(INDEX(代碼表!$H$5:$H$12,MATCH($I21,代碼表!$G$5:$G$12,0)),"")</f>
        <v/>
      </c>
      <c r="K21" s="12"/>
      <c r="L21" s="12"/>
      <c r="M21" s="12"/>
      <c r="N21" s="13"/>
      <c r="O21" s="13"/>
      <c r="P21" s="13"/>
      <c r="Q21" s="9"/>
      <c r="R21" s="10"/>
    </row>
    <row r="22" customFormat="false" ht="30" hidden="false" customHeight="true" outlineLevel="0" collapsed="false">
      <c r="A22" s="9"/>
      <c r="B22" s="10"/>
      <c r="C22" s="9"/>
      <c r="D22" s="9"/>
      <c r="E22" s="11" t="str">
        <f aca="false">IFERROR(INDEX(代碼表!$B$5:$B$10,MATCH($D22,代碼表!$A$5:$A$10,0)),"")</f>
        <v/>
      </c>
      <c r="F22" s="9"/>
      <c r="G22" s="9"/>
      <c r="H22" s="11" t="str">
        <f aca="false">IFERROR(INDEX(代碼表!$E$5:$E$13,MATCH($G22,代碼表!$D$5:$D$13,0)),"")</f>
        <v/>
      </c>
      <c r="I22" s="9"/>
      <c r="J22" s="11" t="str">
        <f aca="false">IFERROR(INDEX(代碼表!$H$5:$H$12,MATCH($I22,代碼表!$G$5:$G$12,0)),"")</f>
        <v/>
      </c>
      <c r="K22" s="12"/>
      <c r="L22" s="12"/>
      <c r="M22" s="12"/>
      <c r="N22" s="13"/>
      <c r="O22" s="13"/>
      <c r="P22" s="13"/>
      <c r="Q22" s="9"/>
      <c r="R22" s="10"/>
    </row>
    <row r="23" customFormat="false" ht="30" hidden="false" customHeight="true" outlineLevel="0" collapsed="false">
      <c r="A23" s="9"/>
      <c r="B23" s="10"/>
      <c r="C23" s="9"/>
      <c r="D23" s="9"/>
      <c r="E23" s="11" t="str">
        <f aca="false">IFERROR(INDEX(代碼表!$B$5:$B$10,MATCH($D23,代碼表!$A$5:$A$10,0)),"")</f>
        <v/>
      </c>
      <c r="F23" s="9"/>
      <c r="G23" s="9"/>
      <c r="H23" s="11" t="str">
        <f aca="false">IFERROR(INDEX(代碼表!$E$5:$E$13,MATCH($G23,代碼表!$D$5:$D$13,0)),"")</f>
        <v/>
      </c>
      <c r="I23" s="9"/>
      <c r="J23" s="11" t="str">
        <f aca="false">IFERROR(INDEX(代碼表!$H$5:$H$12,MATCH($I23,代碼表!$G$5:$G$12,0)),"")</f>
        <v/>
      </c>
      <c r="K23" s="12"/>
      <c r="L23" s="12"/>
      <c r="M23" s="12"/>
      <c r="N23" s="13"/>
      <c r="O23" s="13"/>
      <c r="P23" s="13"/>
      <c r="Q23" s="9"/>
      <c r="R23" s="10"/>
    </row>
    <row r="25" customFormat="false" ht="15" hidden="false" customHeight="false" outlineLevel="0" collapsed="false">
      <c r="A25" s="14" t="s">
        <v>117</v>
      </c>
    </row>
  </sheetData>
  <mergeCells count="2">
    <mergeCell ref="A1:R1"/>
    <mergeCell ref="A2:R2"/>
  </mergeCells>
  <dataValidations count="6">
    <dataValidation allowBlank="true" errorStyle="stop" operator="between" showDropDown="false" showErrorMessage="false" showInputMessage="false" sqref="D4:D23" type="list">
      <formula1>代碼表!$A$5:$A$10</formula1>
      <formula2>0</formula2>
    </dataValidation>
    <dataValidation allowBlank="true" errorStyle="stop" operator="between" showDropDown="false" showErrorMessage="false" showInputMessage="false" sqref="G4:G23" type="list">
      <formula1>代碼表!$D$5:$D$13</formula1>
      <formula2>0</formula2>
    </dataValidation>
    <dataValidation allowBlank="true" errorStyle="stop" operator="between" showDropDown="false" showErrorMessage="false" showInputMessage="false" sqref="I4:I23" type="list">
      <formula1>代碼表!$G$5:$G$12</formula1>
      <formula2>0</formula2>
    </dataValidation>
    <dataValidation allowBlank="true" errorStyle="stop" operator="between" showDropDown="false" showErrorMessage="false" showInputMessage="false" sqref="M4:M23" type="list">
      <formula1>代碼表!$K$5:$K$8</formula1>
      <formula2>0</formula2>
    </dataValidation>
    <dataValidation allowBlank="true" errorStyle="stop" operator="between" showDropDown="false" showErrorMessage="false" showInputMessage="false" sqref="L4:L23" type="list">
      <formula1>"直接,間接"</formula1>
      <formula2>0</formula2>
    </dataValidation>
    <dataValidation allowBlank="true" errorStyle="stop" operator="between" showDropDown="false" showErrorMessage="false" showInputMessage="false" sqref="K4:K23" type="list">
      <formula1>"是,否"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5" width="6"/>
    <col collapsed="false" customWidth="true" hidden="false" outlineLevel="0" max="2" min="2" style="15" width="24"/>
    <col collapsed="false" customWidth="true" hidden="false" outlineLevel="0" max="3" min="3" style="15" width="14"/>
    <col collapsed="false" customWidth="true" hidden="false" outlineLevel="0" max="4" min="4" style="15" width="20"/>
    <col collapsed="false" customWidth="true" hidden="false" outlineLevel="0" max="7" min="5" style="15" width="12"/>
    <col collapsed="false" customWidth="true" hidden="false" outlineLevel="0" max="9" min="8" style="15" width="10"/>
    <col collapsed="false" customWidth="true" hidden="false" outlineLevel="0" max="10" min="10" style="15" width="34"/>
    <col collapsed="false" customWidth="true" hidden="false" outlineLevel="0" max="11" min="11" style="15" width="8"/>
    <col collapsed="false" customWidth="true" hidden="false" outlineLevel="0" max="13" min="12" style="15" width="10"/>
    <col collapsed="false" customWidth="true" hidden="false" outlineLevel="0" max="14" min="14" style="15" width="12"/>
    <col collapsed="false" customWidth="true" hidden="false" outlineLevel="0" max="15" min="15" style="15" width="19"/>
    <col collapsed="false" customWidth="true" hidden="false" outlineLevel="0" max="16" min="16" style="15" width="16"/>
    <col collapsed="false" customWidth="true" hidden="false" outlineLevel="0" max="18" min="17" style="15" width="10"/>
    <col collapsed="false" customWidth="true" hidden="false" outlineLevel="0" max="19" min="19" style="15" width="13"/>
    <col collapsed="false" customWidth="true" hidden="false" outlineLevel="0" max="20" min="20" style="15" width="9"/>
    <col collapsed="false" customWidth="true" hidden="false" outlineLevel="0" max="22" min="21" style="15" width="13"/>
  </cols>
  <sheetData>
    <row r="1" customFormat="false" ht="18" hidden="false" customHeight="true" outlineLevel="0" collapsed="false">
      <c r="A1" s="16" t="s">
        <v>118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customFormat="false" ht="15" hidden="false" customHeight="true" outlineLevel="0" collapsed="false">
      <c r="A2" s="17" t="s">
        <v>119</v>
      </c>
      <c r="C2" s="18" t="n">
        <v>45292</v>
      </c>
      <c r="D2" s="17" t="s">
        <v>120</v>
      </c>
    </row>
    <row r="3" customFormat="false" ht="15" hidden="false" customHeight="true" outlineLevel="0" collapsed="false">
      <c r="A3" s="17" t="s">
        <v>121</v>
      </c>
      <c r="C3" s="18" t="n">
        <v>45657</v>
      </c>
      <c r="D3" s="17" t="s">
        <v>122</v>
      </c>
    </row>
    <row r="4" customFormat="false" ht="15" hidden="false" customHeight="true" outlineLevel="0" collapsed="false">
      <c r="A4" s="19" t="s">
        <v>123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customFormat="false" ht="15" hidden="false" customHeight="true" outlineLevel="0" collapsed="false">
      <c r="A5" s="20" t="s">
        <v>124</v>
      </c>
      <c r="B5" s="20"/>
      <c r="C5" s="20"/>
      <c r="D5" s="20"/>
      <c r="E5" s="20"/>
      <c r="F5" s="20"/>
      <c r="G5" s="20"/>
      <c r="H5" s="20"/>
      <c r="I5" s="20"/>
      <c r="J5" s="20"/>
      <c r="K5" s="21" t="s">
        <v>125</v>
      </c>
      <c r="L5" s="21"/>
      <c r="M5" s="21"/>
      <c r="N5" s="21"/>
      <c r="O5" s="22" t="s">
        <v>126</v>
      </c>
      <c r="P5" s="22"/>
      <c r="Q5" s="22"/>
      <c r="R5" s="22"/>
      <c r="S5" s="22"/>
      <c r="T5" s="22"/>
      <c r="U5" s="22"/>
      <c r="V5" s="22"/>
    </row>
    <row r="6" customFormat="false" ht="31.5" hidden="false" customHeight="true" outlineLevel="0" collapsed="false">
      <c r="A6" s="23" t="s">
        <v>127</v>
      </c>
      <c r="B6" s="23" t="s">
        <v>128</v>
      </c>
      <c r="C6" s="23" t="s">
        <v>129</v>
      </c>
      <c r="D6" s="23" t="s">
        <v>130</v>
      </c>
      <c r="E6" s="23" t="s">
        <v>131</v>
      </c>
      <c r="F6" s="23" t="s">
        <v>132</v>
      </c>
      <c r="G6" s="23" t="s">
        <v>133</v>
      </c>
      <c r="H6" s="23" t="s">
        <v>134</v>
      </c>
      <c r="I6" s="23" t="s">
        <v>135</v>
      </c>
      <c r="J6" s="23" t="s">
        <v>136</v>
      </c>
      <c r="K6" s="23" t="s">
        <v>137</v>
      </c>
      <c r="L6" s="23" t="s">
        <v>138</v>
      </c>
      <c r="M6" s="23" t="s">
        <v>139</v>
      </c>
      <c r="N6" s="23" t="s">
        <v>140</v>
      </c>
      <c r="O6" s="23" t="s">
        <v>141</v>
      </c>
      <c r="P6" s="23" t="s">
        <v>142</v>
      </c>
      <c r="Q6" s="23" t="s">
        <v>143</v>
      </c>
      <c r="R6" s="23" t="s">
        <v>144</v>
      </c>
      <c r="S6" s="23" t="s">
        <v>145</v>
      </c>
      <c r="T6" s="23" t="s">
        <v>146</v>
      </c>
      <c r="U6" s="23" t="s">
        <v>147</v>
      </c>
      <c r="V6" s="23" t="s">
        <v>148</v>
      </c>
    </row>
    <row r="7" customFormat="false" ht="39.75" hidden="false" customHeight="true" outlineLevel="0" collapsed="false">
      <c r="A7" s="24" t="n">
        <v>1</v>
      </c>
      <c r="B7" s="25" t="s">
        <v>149</v>
      </c>
      <c r="C7" s="25" t="s">
        <v>150</v>
      </c>
      <c r="D7" s="26" t="s">
        <v>151</v>
      </c>
      <c r="E7" s="27" t="n">
        <v>45275</v>
      </c>
      <c r="F7" s="27" t="n">
        <v>45336</v>
      </c>
      <c r="G7" s="28" t="n">
        <v>8640</v>
      </c>
      <c r="H7" s="25" t="s">
        <v>152</v>
      </c>
      <c r="I7" s="25" t="s">
        <v>153</v>
      </c>
      <c r="J7" s="29" t="s">
        <v>154</v>
      </c>
      <c r="K7" s="24" t="n">
        <f aca="false">IF($E7="","",$F7-$E7+1)</f>
        <v>62</v>
      </c>
      <c r="L7" s="24" t="n">
        <f aca="false">IF($E7="","",MAX(0,MIN($F7,$C$3)-MAX($E7,$C$2)+1))</f>
        <v>45</v>
      </c>
      <c r="M7" s="30" t="n">
        <f aca="false">IFERROR($L7/$K7,"")</f>
        <v>0.725806451612903</v>
      </c>
      <c r="N7" s="31" t="n">
        <f aca="false">IFERROR($G7*$M7,"")</f>
        <v>6270.96774193548</v>
      </c>
      <c r="O7" s="26" t="s">
        <v>83</v>
      </c>
      <c r="P7" s="24" t="str">
        <f aca="false">IFERROR(INDEX(燃料係數計算!$C$7:$C$40,MATCH($O7,燃料係數計算!$A$7:$A$40,0)),IFERROR(INDEX(電力係數!$B$4:$B$20,MATCH($O7,電力係數!$A$4:$A$20,0)),""))</f>
        <v>台灣電力(113年度)</v>
      </c>
      <c r="Q7" s="24" t="str">
        <f aca="false">IFERROR(INDEX(燃料係數計算!$F$7:$F$40,MATCH($O7,燃料係數計算!$A$7:$A$40,0)),IFERROR(INDEX(電力係數!$D$4:$D$20,MATCH($O7,電力係數!$A$4:$A$20,0)),""))</f>
        <v>度</v>
      </c>
      <c r="R7" s="24" t="str">
        <f aca="false">IF($H7="","",IF($H7=$Q7,"OK","單位不符"))</f>
        <v>OK</v>
      </c>
      <c r="S7" s="32" t="n">
        <f aca="false">IFERROR(INDEX(燃料係數計算!$U$7:$U$40,MATCH($O7,燃料係數計算!$A$7:$A$40,0)),IFERROR(INDEX(電力係數!$C$4:$C$20,MATCH($O7,電力係數!$A$4:$A$20,0)),""))</f>
        <v>0.474</v>
      </c>
      <c r="T7" s="24" t="str">
        <f aca="false">IFERROR(IF(MATCH($O7,電力係數!$A$4:$A$20,0)&gt;0,"範疇二"),IF($O7="","","範疇一"))</f>
        <v>範疇二</v>
      </c>
      <c r="U7" s="33" t="n">
        <f aca="false">IFERROR($N7*$S7,"")</f>
        <v>2972.43870967742</v>
      </c>
      <c r="V7" s="34" t="n">
        <f aca="false">IFERROR($U7/1000,"")</f>
        <v>2.97243870967742</v>
      </c>
    </row>
    <row r="8" customFormat="false" ht="39.75" hidden="false" customHeight="true" outlineLevel="0" collapsed="false">
      <c r="A8" s="24" t="n">
        <v>2</v>
      </c>
      <c r="B8" s="25" t="s">
        <v>149</v>
      </c>
      <c r="C8" s="25" t="s">
        <v>150</v>
      </c>
      <c r="D8" s="26" t="s">
        <v>155</v>
      </c>
      <c r="E8" s="27" t="n">
        <v>45337</v>
      </c>
      <c r="F8" s="27" t="n">
        <v>45396</v>
      </c>
      <c r="G8" s="28" t="n">
        <v>7920</v>
      </c>
      <c r="H8" s="25" t="s">
        <v>152</v>
      </c>
      <c r="I8" s="25" t="s">
        <v>156</v>
      </c>
      <c r="J8" s="29" t="s">
        <v>157</v>
      </c>
      <c r="K8" s="24" t="n">
        <f aca="false">IF($E8="","",$F8-$E8+1)</f>
        <v>60</v>
      </c>
      <c r="L8" s="24" t="n">
        <f aca="false">IF($E8="","",MAX(0,MIN($F8,$C$3)-MAX($E8,$C$2)+1))</f>
        <v>60</v>
      </c>
      <c r="M8" s="30" t="n">
        <f aca="false">IFERROR($L8/$K8,"")</f>
        <v>1</v>
      </c>
      <c r="N8" s="31" t="n">
        <f aca="false">IFERROR($G8*$M8,"")</f>
        <v>7920</v>
      </c>
      <c r="O8" s="26" t="s">
        <v>83</v>
      </c>
      <c r="P8" s="24" t="str">
        <f aca="false">IFERROR(INDEX(燃料係數計算!$C$7:$C$40,MATCH($O8,燃料係數計算!$A$7:$A$40,0)),IFERROR(INDEX(電力係數!$B$4:$B$20,MATCH($O8,電力係數!$A$4:$A$20,0)),""))</f>
        <v>台灣電力(113年度)</v>
      </c>
      <c r="Q8" s="24" t="str">
        <f aca="false">IFERROR(INDEX(燃料係數計算!$F$7:$F$40,MATCH($O8,燃料係數計算!$A$7:$A$40,0)),IFERROR(INDEX(電力係數!$D$4:$D$20,MATCH($O8,電力係數!$A$4:$A$20,0)),""))</f>
        <v>度</v>
      </c>
      <c r="R8" s="24" t="str">
        <f aca="false">IF($H8="","",IF($H8=$Q8,"OK","單位不符"))</f>
        <v>OK</v>
      </c>
      <c r="S8" s="32" t="n">
        <f aca="false">IFERROR(INDEX(燃料係數計算!$U$7:$U$40,MATCH($O8,燃料係數計算!$A$7:$A$40,0)),IFERROR(INDEX(電力係數!$C$4:$C$20,MATCH($O8,電力係數!$A$4:$A$20,0)),""))</f>
        <v>0.474</v>
      </c>
      <c r="T8" s="24" t="str">
        <f aca="false">IFERROR(IF(MATCH($O8,電力係數!$A$4:$A$20,0)&gt;0,"範疇二"),IF($O8="","","範疇一"))</f>
        <v>範疇二</v>
      </c>
      <c r="U8" s="33" t="n">
        <f aca="false">IFERROR($N8*$S8,"")</f>
        <v>3754.08</v>
      </c>
      <c r="V8" s="34" t="n">
        <f aca="false">IFERROR($U8/1000,"")</f>
        <v>3.75408</v>
      </c>
    </row>
    <row r="9" customFormat="false" ht="39.75" hidden="false" customHeight="true" outlineLevel="0" collapsed="false">
      <c r="A9" s="24" t="n">
        <v>3</v>
      </c>
      <c r="B9" s="25" t="s">
        <v>158</v>
      </c>
      <c r="C9" s="25" t="s">
        <v>159</v>
      </c>
      <c r="D9" s="26" t="s">
        <v>160</v>
      </c>
      <c r="E9" s="27" t="n">
        <v>45356</v>
      </c>
      <c r="F9" s="27" t="n">
        <v>45356</v>
      </c>
      <c r="G9" s="28" t="n">
        <v>45.2</v>
      </c>
      <c r="H9" s="25" t="s">
        <v>161</v>
      </c>
      <c r="I9" s="25" t="s">
        <v>156</v>
      </c>
      <c r="J9" s="29" t="s">
        <v>162</v>
      </c>
      <c r="K9" s="24" t="n">
        <f aca="false">IF($E9="","",$F9-$E9+1)</f>
        <v>1</v>
      </c>
      <c r="L9" s="24" t="n">
        <f aca="false">IF($E9="","",MAX(0,MIN($F9,$C$3)-MAX($E9,$C$2)+1))</f>
        <v>1</v>
      </c>
      <c r="M9" s="30" t="n">
        <f aca="false">IFERROR($L9/$K9,"")</f>
        <v>1</v>
      </c>
      <c r="N9" s="31" t="n">
        <f aca="false">IFERROR($G9*$M9,"")</f>
        <v>45.2</v>
      </c>
      <c r="O9" s="26" t="s">
        <v>94</v>
      </c>
      <c r="P9" s="24" t="str">
        <f aca="false">IFERROR(INDEX(燃料係數計算!$C$7:$C$40,MATCH($O9,燃料係數計算!$A$7:$A$40,0)),IFERROR(INDEX(電力係數!$B$4:$B$20,MATCH($O9,電力係數!$A$4:$A$20,0)),""))</f>
        <v>車用汽油</v>
      </c>
      <c r="Q9" s="24" t="str">
        <f aca="false">IFERROR(INDEX(燃料係數計算!$F$7:$F$40,MATCH($O9,燃料係數計算!$A$7:$A$40,0)),IFERROR(INDEX(電力係數!$D$4:$D$20,MATCH($O9,電力係數!$A$4:$A$20,0)),""))</f>
        <v>公升</v>
      </c>
      <c r="R9" s="24" t="str">
        <f aca="false">IF($H9="","",IF($H9=$Q9,"OK","單位不符"))</f>
        <v>OK</v>
      </c>
      <c r="S9" s="32" t="n">
        <f aca="false">IFERROR(INDEX(燃料係數計算!$U$7:$U$40,MATCH($O9,燃料係數計算!$A$7:$A$40,0)),IFERROR(INDEX(電力係數!$C$4:$C$20,MATCH($O9,電力係數!$A$4:$A$20,0)),""))</f>
        <v>2.27067916032</v>
      </c>
      <c r="T9" s="24" t="str">
        <f aca="false">IFERROR(IF(MATCH($O9,電力係數!$A$4:$A$20,0)&gt;0,"範疇二"),IF($O9="","","範疇一"))</f>
        <v>範疇一</v>
      </c>
      <c r="U9" s="33" t="n">
        <f aca="false">IFERROR($N9*$S9,"")</f>
        <v>102.634698046464</v>
      </c>
      <c r="V9" s="34" t="n">
        <f aca="false">IFERROR($U9/1000,"")</f>
        <v>0.102634698046464</v>
      </c>
    </row>
    <row r="10" customFormat="false" ht="39.75" hidden="false" customHeight="true" outlineLevel="0" collapsed="false">
      <c r="A10" s="24" t="n">
        <v>4</v>
      </c>
      <c r="B10" s="25" t="s">
        <v>158</v>
      </c>
      <c r="C10" s="25" t="s">
        <v>159</v>
      </c>
      <c r="D10" s="26" t="s">
        <v>163</v>
      </c>
      <c r="E10" s="27" t="n">
        <v>45371</v>
      </c>
      <c r="F10" s="27" t="n">
        <v>45371</v>
      </c>
      <c r="G10" s="28" t="n">
        <v>49.2</v>
      </c>
      <c r="H10" s="25" t="s">
        <v>161</v>
      </c>
      <c r="I10" s="25" t="s">
        <v>153</v>
      </c>
      <c r="J10" s="29" t="s">
        <v>164</v>
      </c>
      <c r="K10" s="24" t="n">
        <f aca="false">IF($E10="","",$F10-$E10+1)</f>
        <v>1</v>
      </c>
      <c r="L10" s="24" t="n">
        <f aca="false">IF($E10="","",MAX(0,MIN($F10,$C$3)-MAX($E10,$C$2)+1))</f>
        <v>1</v>
      </c>
      <c r="M10" s="30" t="n">
        <f aca="false">IFERROR($L10/$K10,"")</f>
        <v>1</v>
      </c>
      <c r="N10" s="31" t="n">
        <f aca="false">IFERROR($G10*$M10,"")</f>
        <v>49.2</v>
      </c>
      <c r="O10" s="26" t="s">
        <v>94</v>
      </c>
      <c r="P10" s="24" t="str">
        <f aca="false">IFERROR(INDEX(燃料係數計算!$C$7:$C$40,MATCH($O10,燃料係數計算!$A$7:$A$40,0)),IFERROR(INDEX(電力係數!$B$4:$B$20,MATCH($O10,電力係數!$A$4:$A$20,0)),""))</f>
        <v>車用汽油</v>
      </c>
      <c r="Q10" s="24" t="str">
        <f aca="false">IFERROR(INDEX(燃料係數計算!$F$7:$F$40,MATCH($O10,燃料係數計算!$A$7:$A$40,0)),IFERROR(INDEX(電力係數!$D$4:$D$20,MATCH($O10,電力係數!$A$4:$A$20,0)),""))</f>
        <v>公升</v>
      </c>
      <c r="R10" s="24" t="str">
        <f aca="false">IF($H10="","",IF($H10=$Q10,"OK","單位不符"))</f>
        <v>OK</v>
      </c>
      <c r="S10" s="32" t="n">
        <f aca="false">IFERROR(INDEX(燃料係數計算!$U$7:$U$40,MATCH($O10,燃料係數計算!$A$7:$A$40,0)),IFERROR(INDEX(電力係數!$C$4:$C$20,MATCH($O10,電力係數!$A$4:$A$20,0)),""))</f>
        <v>2.27067916032</v>
      </c>
      <c r="T10" s="24" t="str">
        <f aca="false">IFERROR(IF(MATCH($O10,電力係數!$A$4:$A$20,0)&gt;0,"範疇二"),IF($O10="","","範疇一"))</f>
        <v>範疇一</v>
      </c>
      <c r="U10" s="33" t="n">
        <f aca="false">IFERROR($N10*$S10,"")</f>
        <v>111.717414687744</v>
      </c>
      <c r="V10" s="34" t="n">
        <f aca="false">IFERROR($U10/1000,"")</f>
        <v>0.111717414687744</v>
      </c>
    </row>
    <row r="11" customFormat="false" ht="39.75" hidden="false" customHeight="true" outlineLevel="0" collapsed="false">
      <c r="A11" s="24" t="n">
        <v>5</v>
      </c>
      <c r="B11" s="25" t="s">
        <v>101</v>
      </c>
      <c r="C11" s="25" t="s">
        <v>165</v>
      </c>
      <c r="D11" s="26" t="s">
        <v>166</v>
      </c>
      <c r="E11" s="27" t="n">
        <v>45292</v>
      </c>
      <c r="F11" s="27" t="n">
        <v>45382</v>
      </c>
      <c r="G11" s="28" t="n">
        <v>310</v>
      </c>
      <c r="H11" s="25" t="s">
        <v>167</v>
      </c>
      <c r="I11" s="25" t="s">
        <v>156</v>
      </c>
      <c r="J11" s="29" t="s">
        <v>168</v>
      </c>
      <c r="K11" s="24" t="n">
        <f aca="false">IF($E11="","",$F11-$E11+1)</f>
        <v>91</v>
      </c>
      <c r="L11" s="24" t="n">
        <f aca="false">IF($E11="","",MAX(0,MIN($F11,$C$3)-MAX($E11,$C$2)+1))</f>
        <v>91</v>
      </c>
      <c r="M11" s="30" t="n">
        <f aca="false">IFERROR($L11/$K11,"")</f>
        <v>1</v>
      </c>
      <c r="N11" s="31" t="n">
        <f aca="false">IFERROR($G11*$M11,"")</f>
        <v>310</v>
      </c>
      <c r="O11" s="26" t="s">
        <v>108</v>
      </c>
      <c r="P11" s="24" t="str">
        <f aca="false">IFERROR(INDEX(燃料係數計算!$C$7:$C$40,MATCH($O11,燃料係數計算!$A$7:$A$40,0)),IFERROR(INDEX(電力係數!$B$4:$B$20,MATCH($O11,電力係數!$A$4:$A$20,0)),""))</f>
        <v>天然氣</v>
      </c>
      <c r="Q11" s="24" t="str">
        <f aca="false">IFERROR(INDEX(燃料係數計算!$F$7:$F$40,MATCH($O11,燃料係數計算!$A$7:$A$40,0)),IFERROR(INDEX(電力係數!$D$4:$D$20,MATCH($O11,電力係數!$A$4:$A$20,0)),""))</f>
        <v>立方公尺</v>
      </c>
      <c r="R11" s="24" t="str">
        <f aca="false">IF($H11="","",IF($H11=$Q11,"OK","單位不符"))</f>
        <v>OK</v>
      </c>
      <c r="S11" s="32" t="n">
        <f aca="false">IFERROR(INDEX(燃料係數計算!$U$7:$U$40,MATCH($O11,燃料係數計算!$A$7:$A$40,0)),IFERROR(INDEX(電力係數!$C$4:$C$20,MATCH($O11,電力係數!$A$4:$A$20,0)),""))</f>
        <v>1.9060178044842</v>
      </c>
      <c r="T11" s="24" t="str">
        <f aca="false">IFERROR(IF(MATCH($O11,電力係數!$A$4:$A$20,0)&gt;0,"範疇二"),IF($O11="","","範疇一"))</f>
        <v>範疇一</v>
      </c>
      <c r="U11" s="33" t="n">
        <f aca="false">IFERROR($N11*$S11,"")</f>
        <v>590.865519390102</v>
      </c>
      <c r="V11" s="34" t="n">
        <f aca="false">IFERROR($U11/1000,"")</f>
        <v>0.590865519390102</v>
      </c>
    </row>
    <row r="12" customFormat="false" ht="18" hidden="false" customHeight="true" outlineLevel="0" collapsed="false">
      <c r="A12" s="24" t="n">
        <v>6</v>
      </c>
      <c r="B12" s="25"/>
      <c r="C12" s="25"/>
      <c r="D12" s="25"/>
      <c r="E12" s="27"/>
      <c r="F12" s="27"/>
      <c r="G12" s="28"/>
      <c r="H12" s="25"/>
      <c r="I12" s="25"/>
      <c r="J12" s="29"/>
      <c r="K12" s="24" t="str">
        <f aca="false">IF($E12="","",$F12-$E12+1)</f>
        <v/>
      </c>
      <c r="L12" s="24" t="str">
        <f aca="false">IF($E12="","",MAX(0,MIN($F12,$C$3)-MAX($E12,$C$2)+1))</f>
        <v/>
      </c>
      <c r="M12" s="30" t="str">
        <f aca="false">IFERROR($L12/$K12,"")</f>
        <v/>
      </c>
      <c r="N12" s="31" t="str">
        <f aca="false">IFERROR($G12*$M12,"")</f>
        <v/>
      </c>
      <c r="O12" s="25"/>
      <c r="P12" s="24" t="str">
        <f aca="false">IFERROR(INDEX(燃料係數計算!$C$7:$C$40,MATCH($O12,燃料係數計算!$A$7:$A$40,0)),IFERROR(INDEX(電力係數!$B$4:$B$20,MATCH($O12,電力係數!$A$4:$A$20,0)),""))</f>
        <v/>
      </c>
      <c r="Q12" s="24" t="str">
        <f aca="false">IFERROR(INDEX(燃料係數計算!$F$7:$F$40,MATCH($O12,燃料係數計算!$A$7:$A$40,0)),IFERROR(INDEX(電力係數!$D$4:$D$20,MATCH($O12,電力係數!$A$4:$A$20,0)),""))</f>
        <v/>
      </c>
      <c r="R12" s="24" t="str">
        <f aca="false">IF($H12="","",IF($H12=$Q12,"OK","單位不符"))</f>
        <v/>
      </c>
      <c r="S12" s="32" t="str">
        <f aca="false">IFERROR(INDEX(燃料係數計算!$U$7:$U$40,MATCH($O12,燃料係數計算!$A$7:$A$40,0)),IFERROR(INDEX(電力係數!$C$4:$C$20,MATCH($O12,電力係數!$A$4:$A$20,0)),""))</f>
        <v/>
      </c>
      <c r="T12" s="24" t="str">
        <f aca="false">IFERROR(IF(MATCH($O12,電力係數!$A$4:$A$20,0)&gt;0,"範疇二"),IF($O12="","","範疇一"))</f>
        <v/>
      </c>
      <c r="U12" s="33" t="str">
        <f aca="false">IFERROR($N12*$S12,"")</f>
        <v/>
      </c>
      <c r="V12" s="34" t="str">
        <f aca="false">IFERROR($U12/1000,"")</f>
        <v/>
      </c>
    </row>
    <row r="13" customFormat="false" ht="18" hidden="false" customHeight="true" outlineLevel="0" collapsed="false">
      <c r="A13" s="24" t="n">
        <v>7</v>
      </c>
      <c r="B13" s="25"/>
      <c r="C13" s="25"/>
      <c r="D13" s="25"/>
      <c r="E13" s="27"/>
      <c r="F13" s="27"/>
      <c r="G13" s="28"/>
      <c r="H13" s="25"/>
      <c r="I13" s="25"/>
      <c r="J13" s="29"/>
      <c r="K13" s="24" t="str">
        <f aca="false">IF($E13="","",$F13-$E13+1)</f>
        <v/>
      </c>
      <c r="L13" s="24" t="str">
        <f aca="false">IF($E13="","",MAX(0,MIN($F13,$C$3)-MAX($E13,$C$2)+1))</f>
        <v/>
      </c>
      <c r="M13" s="30" t="str">
        <f aca="false">IFERROR($L13/$K13,"")</f>
        <v/>
      </c>
      <c r="N13" s="31" t="str">
        <f aca="false">IFERROR($G13*$M13,"")</f>
        <v/>
      </c>
      <c r="O13" s="25"/>
      <c r="P13" s="24" t="str">
        <f aca="false">IFERROR(INDEX(燃料係數計算!$C$7:$C$40,MATCH($O13,燃料係數計算!$A$7:$A$40,0)),IFERROR(INDEX(電力係數!$B$4:$B$20,MATCH($O13,電力係數!$A$4:$A$20,0)),""))</f>
        <v/>
      </c>
      <c r="Q13" s="24" t="str">
        <f aca="false">IFERROR(INDEX(燃料係數計算!$F$7:$F$40,MATCH($O13,燃料係數計算!$A$7:$A$40,0)),IFERROR(INDEX(電力係數!$D$4:$D$20,MATCH($O13,電力係數!$A$4:$A$20,0)),""))</f>
        <v/>
      </c>
      <c r="R13" s="24" t="str">
        <f aca="false">IF($H13="","",IF($H13=$Q13,"OK","單位不符"))</f>
        <v/>
      </c>
      <c r="S13" s="32" t="str">
        <f aca="false">IFERROR(INDEX(燃料係數計算!$U$7:$U$40,MATCH($O13,燃料係數計算!$A$7:$A$40,0)),IFERROR(INDEX(電力係數!$C$4:$C$20,MATCH($O13,電力係數!$A$4:$A$20,0)),""))</f>
        <v/>
      </c>
      <c r="T13" s="24" t="str">
        <f aca="false">IFERROR(IF(MATCH($O13,電力係數!$A$4:$A$20,0)&gt;0,"範疇二"),IF($O13="","","範疇一"))</f>
        <v/>
      </c>
      <c r="U13" s="33" t="str">
        <f aca="false">IFERROR($N13*$S13,"")</f>
        <v/>
      </c>
      <c r="V13" s="34" t="str">
        <f aca="false">IFERROR($U13/1000,"")</f>
        <v/>
      </c>
    </row>
    <row r="14" customFormat="false" ht="18" hidden="false" customHeight="true" outlineLevel="0" collapsed="false">
      <c r="A14" s="24" t="n">
        <v>8</v>
      </c>
      <c r="B14" s="25"/>
      <c r="C14" s="25"/>
      <c r="D14" s="25"/>
      <c r="E14" s="27"/>
      <c r="F14" s="27"/>
      <c r="G14" s="28"/>
      <c r="H14" s="25"/>
      <c r="I14" s="25"/>
      <c r="J14" s="29"/>
      <c r="K14" s="24" t="str">
        <f aca="false">IF($E14="","",$F14-$E14+1)</f>
        <v/>
      </c>
      <c r="L14" s="24" t="str">
        <f aca="false">IF($E14="","",MAX(0,MIN($F14,$C$3)-MAX($E14,$C$2)+1))</f>
        <v/>
      </c>
      <c r="M14" s="30" t="str">
        <f aca="false">IFERROR($L14/$K14,"")</f>
        <v/>
      </c>
      <c r="N14" s="31" t="str">
        <f aca="false">IFERROR($G14*$M14,"")</f>
        <v/>
      </c>
      <c r="O14" s="25"/>
      <c r="P14" s="24" t="str">
        <f aca="false">IFERROR(INDEX(燃料係數計算!$C$7:$C$40,MATCH($O14,燃料係數計算!$A$7:$A$40,0)),IFERROR(INDEX(電力係數!$B$4:$B$20,MATCH($O14,電力係數!$A$4:$A$20,0)),""))</f>
        <v/>
      </c>
      <c r="Q14" s="24" t="str">
        <f aca="false">IFERROR(INDEX(燃料係數計算!$F$7:$F$40,MATCH($O14,燃料係數計算!$A$7:$A$40,0)),IFERROR(INDEX(電力係數!$D$4:$D$20,MATCH($O14,電力係數!$A$4:$A$20,0)),""))</f>
        <v/>
      </c>
      <c r="R14" s="24" t="str">
        <f aca="false">IF($H14="","",IF($H14=$Q14,"OK","單位不符"))</f>
        <v/>
      </c>
      <c r="S14" s="32" t="str">
        <f aca="false">IFERROR(INDEX(燃料係數計算!$U$7:$U$40,MATCH($O14,燃料係數計算!$A$7:$A$40,0)),IFERROR(INDEX(電力係數!$C$4:$C$20,MATCH($O14,電力係數!$A$4:$A$20,0)),""))</f>
        <v/>
      </c>
      <c r="T14" s="24" t="str">
        <f aca="false">IFERROR(IF(MATCH($O14,電力係數!$A$4:$A$20,0)&gt;0,"範疇二"),IF($O14="","","範疇一"))</f>
        <v/>
      </c>
      <c r="U14" s="33" t="str">
        <f aca="false">IFERROR($N14*$S14,"")</f>
        <v/>
      </c>
      <c r="V14" s="34" t="str">
        <f aca="false">IFERROR($U14/1000,"")</f>
        <v/>
      </c>
    </row>
    <row r="15" customFormat="false" ht="18" hidden="false" customHeight="true" outlineLevel="0" collapsed="false">
      <c r="A15" s="24" t="n">
        <v>9</v>
      </c>
      <c r="B15" s="25"/>
      <c r="C15" s="25"/>
      <c r="D15" s="25"/>
      <c r="E15" s="27"/>
      <c r="F15" s="27"/>
      <c r="G15" s="28"/>
      <c r="H15" s="25"/>
      <c r="I15" s="25"/>
      <c r="J15" s="29"/>
      <c r="K15" s="24" t="str">
        <f aca="false">IF($E15="","",$F15-$E15+1)</f>
        <v/>
      </c>
      <c r="L15" s="24" t="str">
        <f aca="false">IF($E15="","",MAX(0,MIN($F15,$C$3)-MAX($E15,$C$2)+1))</f>
        <v/>
      </c>
      <c r="M15" s="30" t="str">
        <f aca="false">IFERROR($L15/$K15,"")</f>
        <v/>
      </c>
      <c r="N15" s="31" t="str">
        <f aca="false">IFERROR($G15*$M15,"")</f>
        <v/>
      </c>
      <c r="O15" s="25"/>
      <c r="P15" s="24" t="str">
        <f aca="false">IFERROR(INDEX(燃料係數計算!$C$7:$C$40,MATCH($O15,燃料係數計算!$A$7:$A$40,0)),IFERROR(INDEX(電力係數!$B$4:$B$20,MATCH($O15,電力係數!$A$4:$A$20,0)),""))</f>
        <v/>
      </c>
      <c r="Q15" s="24" t="str">
        <f aca="false">IFERROR(INDEX(燃料係數計算!$F$7:$F$40,MATCH($O15,燃料係數計算!$A$7:$A$40,0)),IFERROR(INDEX(電力係數!$D$4:$D$20,MATCH($O15,電力係數!$A$4:$A$20,0)),""))</f>
        <v/>
      </c>
      <c r="R15" s="24" t="str">
        <f aca="false">IF($H15="","",IF($H15=$Q15,"OK","單位不符"))</f>
        <v/>
      </c>
      <c r="S15" s="32" t="str">
        <f aca="false">IFERROR(INDEX(燃料係數計算!$U$7:$U$40,MATCH($O15,燃料係數計算!$A$7:$A$40,0)),IFERROR(INDEX(電力係數!$C$4:$C$20,MATCH($O15,電力係數!$A$4:$A$20,0)),""))</f>
        <v/>
      </c>
      <c r="T15" s="24" t="str">
        <f aca="false">IFERROR(IF(MATCH($O15,電力係數!$A$4:$A$20,0)&gt;0,"範疇二"),IF($O15="","","範疇一"))</f>
        <v/>
      </c>
      <c r="U15" s="33" t="str">
        <f aca="false">IFERROR($N15*$S15,"")</f>
        <v/>
      </c>
      <c r="V15" s="34" t="str">
        <f aca="false">IFERROR($U15/1000,"")</f>
        <v/>
      </c>
    </row>
    <row r="16" customFormat="false" ht="18" hidden="false" customHeight="true" outlineLevel="0" collapsed="false">
      <c r="A16" s="24" t="n">
        <v>10</v>
      </c>
      <c r="B16" s="25"/>
      <c r="C16" s="25"/>
      <c r="D16" s="25"/>
      <c r="E16" s="27"/>
      <c r="F16" s="27"/>
      <c r="G16" s="28"/>
      <c r="H16" s="25"/>
      <c r="I16" s="25"/>
      <c r="J16" s="29"/>
      <c r="K16" s="24" t="str">
        <f aca="false">IF($E16="","",$F16-$E16+1)</f>
        <v/>
      </c>
      <c r="L16" s="24" t="str">
        <f aca="false">IF($E16="","",MAX(0,MIN($F16,$C$3)-MAX($E16,$C$2)+1))</f>
        <v/>
      </c>
      <c r="M16" s="30" t="str">
        <f aca="false">IFERROR($L16/$K16,"")</f>
        <v/>
      </c>
      <c r="N16" s="31" t="str">
        <f aca="false">IFERROR($G16*$M16,"")</f>
        <v/>
      </c>
      <c r="O16" s="25"/>
      <c r="P16" s="24" t="str">
        <f aca="false">IFERROR(INDEX(燃料係數計算!$C$7:$C$40,MATCH($O16,燃料係數計算!$A$7:$A$40,0)),IFERROR(INDEX(電力係數!$B$4:$B$20,MATCH($O16,電力係數!$A$4:$A$20,0)),""))</f>
        <v/>
      </c>
      <c r="Q16" s="24" t="str">
        <f aca="false">IFERROR(INDEX(燃料係數計算!$F$7:$F$40,MATCH($O16,燃料係數計算!$A$7:$A$40,0)),IFERROR(INDEX(電力係數!$D$4:$D$20,MATCH($O16,電力係數!$A$4:$A$20,0)),""))</f>
        <v/>
      </c>
      <c r="R16" s="24" t="str">
        <f aca="false">IF($H16="","",IF($H16=$Q16,"OK","單位不符"))</f>
        <v/>
      </c>
      <c r="S16" s="32" t="str">
        <f aca="false">IFERROR(INDEX(燃料係數計算!$U$7:$U$40,MATCH($O16,燃料係數計算!$A$7:$A$40,0)),IFERROR(INDEX(電力係數!$C$4:$C$20,MATCH($O16,電力係數!$A$4:$A$20,0)),""))</f>
        <v/>
      </c>
      <c r="T16" s="24" t="str">
        <f aca="false">IFERROR(IF(MATCH($O16,電力係數!$A$4:$A$20,0)&gt;0,"範疇二"),IF($O16="","","範疇一"))</f>
        <v/>
      </c>
      <c r="U16" s="33" t="str">
        <f aca="false">IFERROR($N16*$S16,"")</f>
        <v/>
      </c>
      <c r="V16" s="34" t="str">
        <f aca="false">IFERROR($U16/1000,"")</f>
        <v/>
      </c>
    </row>
    <row r="17" customFormat="false" ht="18" hidden="false" customHeight="true" outlineLevel="0" collapsed="false">
      <c r="A17" s="24" t="n">
        <v>11</v>
      </c>
      <c r="B17" s="25"/>
      <c r="C17" s="25"/>
      <c r="D17" s="25"/>
      <c r="E17" s="27"/>
      <c r="F17" s="27"/>
      <c r="G17" s="28"/>
      <c r="H17" s="25"/>
      <c r="I17" s="25"/>
      <c r="J17" s="29"/>
      <c r="K17" s="24" t="str">
        <f aca="false">IF($E17="","",$F17-$E17+1)</f>
        <v/>
      </c>
      <c r="L17" s="24" t="str">
        <f aca="false">IF($E17="","",MAX(0,MIN($F17,$C$3)-MAX($E17,$C$2)+1))</f>
        <v/>
      </c>
      <c r="M17" s="30" t="str">
        <f aca="false">IFERROR($L17/$K17,"")</f>
        <v/>
      </c>
      <c r="N17" s="31" t="str">
        <f aca="false">IFERROR($G17*$M17,"")</f>
        <v/>
      </c>
      <c r="O17" s="25"/>
      <c r="P17" s="24" t="str">
        <f aca="false">IFERROR(INDEX(燃料係數計算!$C$7:$C$40,MATCH($O17,燃料係數計算!$A$7:$A$40,0)),IFERROR(INDEX(電力係數!$B$4:$B$20,MATCH($O17,電力係數!$A$4:$A$20,0)),""))</f>
        <v/>
      </c>
      <c r="Q17" s="24" t="str">
        <f aca="false">IFERROR(INDEX(燃料係數計算!$F$7:$F$40,MATCH($O17,燃料係數計算!$A$7:$A$40,0)),IFERROR(INDEX(電力係數!$D$4:$D$20,MATCH($O17,電力係數!$A$4:$A$20,0)),""))</f>
        <v/>
      </c>
      <c r="R17" s="24" t="str">
        <f aca="false">IF($H17="","",IF($H17=$Q17,"OK","單位不符"))</f>
        <v/>
      </c>
      <c r="S17" s="32" t="str">
        <f aca="false">IFERROR(INDEX(燃料係數計算!$U$7:$U$40,MATCH($O17,燃料係數計算!$A$7:$A$40,0)),IFERROR(INDEX(電力係數!$C$4:$C$20,MATCH($O17,電力係數!$A$4:$A$20,0)),""))</f>
        <v/>
      </c>
      <c r="T17" s="24" t="str">
        <f aca="false">IFERROR(IF(MATCH($O17,電力係數!$A$4:$A$20,0)&gt;0,"範疇二"),IF($O17="","","範疇一"))</f>
        <v/>
      </c>
      <c r="U17" s="33" t="str">
        <f aca="false">IFERROR($N17*$S17,"")</f>
        <v/>
      </c>
      <c r="V17" s="34" t="str">
        <f aca="false">IFERROR($U17/1000,"")</f>
        <v/>
      </c>
    </row>
    <row r="18" customFormat="false" ht="18" hidden="false" customHeight="true" outlineLevel="0" collapsed="false">
      <c r="A18" s="24" t="n">
        <v>12</v>
      </c>
      <c r="B18" s="25"/>
      <c r="C18" s="25"/>
      <c r="D18" s="25"/>
      <c r="E18" s="27"/>
      <c r="F18" s="27"/>
      <c r="G18" s="28"/>
      <c r="H18" s="25"/>
      <c r="I18" s="25"/>
      <c r="J18" s="29"/>
      <c r="K18" s="24" t="str">
        <f aca="false">IF($E18="","",$F18-$E18+1)</f>
        <v/>
      </c>
      <c r="L18" s="24" t="str">
        <f aca="false">IF($E18="","",MAX(0,MIN($F18,$C$3)-MAX($E18,$C$2)+1))</f>
        <v/>
      </c>
      <c r="M18" s="30" t="str">
        <f aca="false">IFERROR($L18/$K18,"")</f>
        <v/>
      </c>
      <c r="N18" s="31" t="str">
        <f aca="false">IFERROR($G18*$M18,"")</f>
        <v/>
      </c>
      <c r="O18" s="25"/>
      <c r="P18" s="24" t="str">
        <f aca="false">IFERROR(INDEX(燃料係數計算!$C$7:$C$40,MATCH($O18,燃料係數計算!$A$7:$A$40,0)),IFERROR(INDEX(電力係數!$B$4:$B$20,MATCH($O18,電力係數!$A$4:$A$20,0)),""))</f>
        <v/>
      </c>
      <c r="Q18" s="24" t="str">
        <f aca="false">IFERROR(INDEX(燃料係數計算!$F$7:$F$40,MATCH($O18,燃料係數計算!$A$7:$A$40,0)),IFERROR(INDEX(電力係數!$D$4:$D$20,MATCH($O18,電力係數!$A$4:$A$20,0)),""))</f>
        <v/>
      </c>
      <c r="R18" s="24" t="str">
        <f aca="false">IF($H18="","",IF($H18=$Q18,"OK","單位不符"))</f>
        <v/>
      </c>
      <c r="S18" s="32" t="str">
        <f aca="false">IFERROR(INDEX(燃料係數計算!$U$7:$U$40,MATCH($O18,燃料係數計算!$A$7:$A$40,0)),IFERROR(INDEX(電力係數!$C$4:$C$20,MATCH($O18,電力係數!$A$4:$A$20,0)),""))</f>
        <v/>
      </c>
      <c r="T18" s="24" t="str">
        <f aca="false">IFERROR(IF(MATCH($O18,電力係數!$A$4:$A$20,0)&gt;0,"範疇二"),IF($O18="","","範疇一"))</f>
        <v/>
      </c>
      <c r="U18" s="33" t="str">
        <f aca="false">IFERROR($N18*$S18,"")</f>
        <v/>
      </c>
      <c r="V18" s="34" t="str">
        <f aca="false">IFERROR($U18/1000,"")</f>
        <v/>
      </c>
    </row>
    <row r="19" customFormat="false" ht="18" hidden="false" customHeight="true" outlineLevel="0" collapsed="false">
      <c r="A19" s="24" t="n">
        <v>13</v>
      </c>
      <c r="B19" s="25"/>
      <c r="C19" s="25"/>
      <c r="D19" s="25"/>
      <c r="E19" s="27"/>
      <c r="F19" s="27"/>
      <c r="G19" s="28"/>
      <c r="H19" s="25"/>
      <c r="I19" s="25"/>
      <c r="J19" s="29"/>
      <c r="K19" s="24" t="str">
        <f aca="false">IF($E19="","",$F19-$E19+1)</f>
        <v/>
      </c>
      <c r="L19" s="24" t="str">
        <f aca="false">IF($E19="","",MAX(0,MIN($F19,$C$3)-MAX($E19,$C$2)+1))</f>
        <v/>
      </c>
      <c r="M19" s="30" t="str">
        <f aca="false">IFERROR($L19/$K19,"")</f>
        <v/>
      </c>
      <c r="N19" s="31" t="str">
        <f aca="false">IFERROR($G19*$M19,"")</f>
        <v/>
      </c>
      <c r="O19" s="25"/>
      <c r="P19" s="24" t="str">
        <f aca="false">IFERROR(INDEX(燃料係數計算!$C$7:$C$40,MATCH($O19,燃料係數計算!$A$7:$A$40,0)),IFERROR(INDEX(電力係數!$B$4:$B$20,MATCH($O19,電力係數!$A$4:$A$20,0)),""))</f>
        <v/>
      </c>
      <c r="Q19" s="24" t="str">
        <f aca="false">IFERROR(INDEX(燃料係數計算!$F$7:$F$40,MATCH($O19,燃料係數計算!$A$7:$A$40,0)),IFERROR(INDEX(電力係數!$D$4:$D$20,MATCH($O19,電力係數!$A$4:$A$20,0)),""))</f>
        <v/>
      </c>
      <c r="R19" s="24" t="str">
        <f aca="false">IF($H19="","",IF($H19=$Q19,"OK","單位不符"))</f>
        <v/>
      </c>
      <c r="S19" s="32" t="str">
        <f aca="false">IFERROR(INDEX(燃料係數計算!$U$7:$U$40,MATCH($O19,燃料係數計算!$A$7:$A$40,0)),IFERROR(INDEX(電力係數!$C$4:$C$20,MATCH($O19,電力係數!$A$4:$A$20,0)),""))</f>
        <v/>
      </c>
      <c r="T19" s="24" t="str">
        <f aca="false">IFERROR(IF(MATCH($O19,電力係數!$A$4:$A$20,0)&gt;0,"範疇二"),IF($O19="","","範疇一"))</f>
        <v/>
      </c>
      <c r="U19" s="33" t="str">
        <f aca="false">IFERROR($N19*$S19,"")</f>
        <v/>
      </c>
      <c r="V19" s="34" t="str">
        <f aca="false">IFERROR($U19/1000,"")</f>
        <v/>
      </c>
    </row>
    <row r="20" customFormat="false" ht="18" hidden="false" customHeight="true" outlineLevel="0" collapsed="false">
      <c r="A20" s="24" t="n">
        <v>14</v>
      </c>
      <c r="B20" s="25"/>
      <c r="C20" s="25"/>
      <c r="D20" s="25"/>
      <c r="E20" s="27"/>
      <c r="F20" s="27"/>
      <c r="G20" s="28"/>
      <c r="H20" s="25"/>
      <c r="I20" s="25"/>
      <c r="J20" s="29"/>
      <c r="K20" s="24" t="str">
        <f aca="false">IF($E20="","",$F20-$E20+1)</f>
        <v/>
      </c>
      <c r="L20" s="24" t="str">
        <f aca="false">IF($E20="","",MAX(0,MIN($F20,$C$3)-MAX($E20,$C$2)+1))</f>
        <v/>
      </c>
      <c r="M20" s="30" t="str">
        <f aca="false">IFERROR($L20/$K20,"")</f>
        <v/>
      </c>
      <c r="N20" s="31" t="str">
        <f aca="false">IFERROR($G20*$M20,"")</f>
        <v/>
      </c>
      <c r="O20" s="25"/>
      <c r="P20" s="24" t="str">
        <f aca="false">IFERROR(INDEX(燃料係數計算!$C$7:$C$40,MATCH($O20,燃料係數計算!$A$7:$A$40,0)),IFERROR(INDEX(電力係數!$B$4:$B$20,MATCH($O20,電力係數!$A$4:$A$20,0)),""))</f>
        <v/>
      </c>
      <c r="Q20" s="24" t="str">
        <f aca="false">IFERROR(INDEX(燃料係數計算!$F$7:$F$40,MATCH($O20,燃料係數計算!$A$7:$A$40,0)),IFERROR(INDEX(電力係數!$D$4:$D$20,MATCH($O20,電力係數!$A$4:$A$20,0)),""))</f>
        <v/>
      </c>
      <c r="R20" s="24" t="str">
        <f aca="false">IF($H20="","",IF($H20=$Q20,"OK","單位不符"))</f>
        <v/>
      </c>
      <c r="S20" s="32" t="str">
        <f aca="false">IFERROR(INDEX(燃料係數計算!$U$7:$U$40,MATCH($O20,燃料係數計算!$A$7:$A$40,0)),IFERROR(INDEX(電力係數!$C$4:$C$20,MATCH($O20,電力係數!$A$4:$A$20,0)),""))</f>
        <v/>
      </c>
      <c r="T20" s="24" t="str">
        <f aca="false">IFERROR(IF(MATCH($O20,電力係數!$A$4:$A$20,0)&gt;0,"範疇二"),IF($O20="","","範疇一"))</f>
        <v/>
      </c>
      <c r="U20" s="33" t="str">
        <f aca="false">IFERROR($N20*$S20,"")</f>
        <v/>
      </c>
      <c r="V20" s="34" t="str">
        <f aca="false">IFERROR($U20/1000,"")</f>
        <v/>
      </c>
    </row>
    <row r="21" customFormat="false" ht="18" hidden="false" customHeight="true" outlineLevel="0" collapsed="false">
      <c r="A21" s="24" t="n">
        <v>15</v>
      </c>
      <c r="B21" s="25"/>
      <c r="C21" s="25"/>
      <c r="D21" s="25"/>
      <c r="E21" s="27"/>
      <c r="F21" s="27"/>
      <c r="G21" s="28"/>
      <c r="H21" s="25"/>
      <c r="I21" s="25"/>
      <c r="J21" s="29"/>
      <c r="K21" s="24" t="str">
        <f aca="false">IF($E21="","",$F21-$E21+1)</f>
        <v/>
      </c>
      <c r="L21" s="24" t="str">
        <f aca="false">IF($E21="","",MAX(0,MIN($F21,$C$3)-MAX($E21,$C$2)+1))</f>
        <v/>
      </c>
      <c r="M21" s="30" t="str">
        <f aca="false">IFERROR($L21/$K21,"")</f>
        <v/>
      </c>
      <c r="N21" s="31" t="str">
        <f aca="false">IFERROR($G21*$M21,"")</f>
        <v/>
      </c>
      <c r="O21" s="25"/>
      <c r="P21" s="24" t="str">
        <f aca="false">IFERROR(INDEX(燃料係數計算!$C$7:$C$40,MATCH($O21,燃料係數計算!$A$7:$A$40,0)),IFERROR(INDEX(電力係數!$B$4:$B$20,MATCH($O21,電力係數!$A$4:$A$20,0)),""))</f>
        <v/>
      </c>
      <c r="Q21" s="24" t="str">
        <f aca="false">IFERROR(INDEX(燃料係數計算!$F$7:$F$40,MATCH($O21,燃料係數計算!$A$7:$A$40,0)),IFERROR(INDEX(電力係數!$D$4:$D$20,MATCH($O21,電力係數!$A$4:$A$20,0)),""))</f>
        <v/>
      </c>
      <c r="R21" s="24" t="str">
        <f aca="false">IF($H21="","",IF($H21=$Q21,"OK","單位不符"))</f>
        <v/>
      </c>
      <c r="S21" s="32" t="str">
        <f aca="false">IFERROR(INDEX(燃料係數計算!$U$7:$U$40,MATCH($O21,燃料係數計算!$A$7:$A$40,0)),IFERROR(INDEX(電力係數!$C$4:$C$20,MATCH($O21,電力係數!$A$4:$A$20,0)),""))</f>
        <v/>
      </c>
      <c r="T21" s="24" t="str">
        <f aca="false">IFERROR(IF(MATCH($O21,電力係數!$A$4:$A$20,0)&gt;0,"範疇二"),IF($O21="","","範疇一"))</f>
        <v/>
      </c>
      <c r="U21" s="33" t="str">
        <f aca="false">IFERROR($N21*$S21,"")</f>
        <v/>
      </c>
      <c r="V21" s="34" t="str">
        <f aca="false">IFERROR($U21/1000,"")</f>
        <v/>
      </c>
    </row>
    <row r="22" customFormat="false" ht="18" hidden="false" customHeight="true" outlineLevel="0" collapsed="false">
      <c r="A22" s="24" t="n">
        <v>16</v>
      </c>
      <c r="B22" s="25"/>
      <c r="C22" s="25"/>
      <c r="D22" s="25"/>
      <c r="E22" s="27"/>
      <c r="F22" s="27"/>
      <c r="G22" s="28"/>
      <c r="H22" s="25"/>
      <c r="I22" s="25"/>
      <c r="J22" s="29"/>
      <c r="K22" s="24" t="str">
        <f aca="false">IF($E22="","",$F22-$E22+1)</f>
        <v/>
      </c>
      <c r="L22" s="24" t="str">
        <f aca="false">IF($E22="","",MAX(0,MIN($F22,$C$3)-MAX($E22,$C$2)+1))</f>
        <v/>
      </c>
      <c r="M22" s="30" t="str">
        <f aca="false">IFERROR($L22/$K22,"")</f>
        <v/>
      </c>
      <c r="N22" s="31" t="str">
        <f aca="false">IFERROR($G22*$M22,"")</f>
        <v/>
      </c>
      <c r="O22" s="25"/>
      <c r="P22" s="24" t="str">
        <f aca="false">IFERROR(INDEX(燃料係數計算!$C$7:$C$40,MATCH($O22,燃料係數計算!$A$7:$A$40,0)),IFERROR(INDEX(電力係數!$B$4:$B$20,MATCH($O22,電力係數!$A$4:$A$20,0)),""))</f>
        <v/>
      </c>
      <c r="Q22" s="24" t="str">
        <f aca="false">IFERROR(INDEX(燃料係數計算!$F$7:$F$40,MATCH($O22,燃料係數計算!$A$7:$A$40,0)),IFERROR(INDEX(電力係數!$D$4:$D$20,MATCH($O22,電力係數!$A$4:$A$20,0)),""))</f>
        <v/>
      </c>
      <c r="R22" s="24" t="str">
        <f aca="false">IF($H22="","",IF($H22=$Q22,"OK","單位不符"))</f>
        <v/>
      </c>
      <c r="S22" s="32" t="str">
        <f aca="false">IFERROR(INDEX(燃料係數計算!$U$7:$U$40,MATCH($O22,燃料係數計算!$A$7:$A$40,0)),IFERROR(INDEX(電力係數!$C$4:$C$20,MATCH($O22,電力係數!$A$4:$A$20,0)),""))</f>
        <v/>
      </c>
      <c r="T22" s="24" t="str">
        <f aca="false">IFERROR(IF(MATCH($O22,電力係數!$A$4:$A$20,0)&gt;0,"範疇二"),IF($O22="","","範疇一"))</f>
        <v/>
      </c>
      <c r="U22" s="33" t="str">
        <f aca="false">IFERROR($N22*$S22,"")</f>
        <v/>
      </c>
      <c r="V22" s="34" t="str">
        <f aca="false">IFERROR($U22/1000,"")</f>
        <v/>
      </c>
    </row>
    <row r="23" customFormat="false" ht="18" hidden="false" customHeight="true" outlineLevel="0" collapsed="false">
      <c r="A23" s="24" t="n">
        <v>17</v>
      </c>
      <c r="B23" s="25"/>
      <c r="C23" s="25"/>
      <c r="D23" s="25"/>
      <c r="E23" s="27"/>
      <c r="F23" s="27"/>
      <c r="G23" s="28"/>
      <c r="H23" s="25"/>
      <c r="I23" s="25"/>
      <c r="J23" s="29"/>
      <c r="K23" s="24" t="str">
        <f aca="false">IF($E23="","",$F23-$E23+1)</f>
        <v/>
      </c>
      <c r="L23" s="24" t="str">
        <f aca="false">IF($E23="","",MAX(0,MIN($F23,$C$3)-MAX($E23,$C$2)+1))</f>
        <v/>
      </c>
      <c r="M23" s="30" t="str">
        <f aca="false">IFERROR($L23/$K23,"")</f>
        <v/>
      </c>
      <c r="N23" s="31" t="str">
        <f aca="false">IFERROR($G23*$M23,"")</f>
        <v/>
      </c>
      <c r="O23" s="25"/>
      <c r="P23" s="24" t="str">
        <f aca="false">IFERROR(INDEX(燃料係數計算!$C$7:$C$40,MATCH($O23,燃料係數計算!$A$7:$A$40,0)),IFERROR(INDEX(電力係數!$B$4:$B$20,MATCH($O23,電力係數!$A$4:$A$20,0)),""))</f>
        <v/>
      </c>
      <c r="Q23" s="24" t="str">
        <f aca="false">IFERROR(INDEX(燃料係數計算!$F$7:$F$40,MATCH($O23,燃料係數計算!$A$7:$A$40,0)),IFERROR(INDEX(電力係數!$D$4:$D$20,MATCH($O23,電力係數!$A$4:$A$20,0)),""))</f>
        <v/>
      </c>
      <c r="R23" s="24" t="str">
        <f aca="false">IF($H23="","",IF($H23=$Q23,"OK","單位不符"))</f>
        <v/>
      </c>
      <c r="S23" s="32" t="str">
        <f aca="false">IFERROR(INDEX(燃料係數計算!$U$7:$U$40,MATCH($O23,燃料係數計算!$A$7:$A$40,0)),IFERROR(INDEX(電力係數!$C$4:$C$20,MATCH($O23,電力係數!$A$4:$A$20,0)),""))</f>
        <v/>
      </c>
      <c r="T23" s="24" t="str">
        <f aca="false">IFERROR(IF(MATCH($O23,電力係數!$A$4:$A$20,0)&gt;0,"範疇二"),IF($O23="","","範疇一"))</f>
        <v/>
      </c>
      <c r="U23" s="33" t="str">
        <f aca="false">IFERROR($N23*$S23,"")</f>
        <v/>
      </c>
      <c r="V23" s="34" t="str">
        <f aca="false">IFERROR($U23/1000,"")</f>
        <v/>
      </c>
    </row>
    <row r="24" customFormat="false" ht="18" hidden="false" customHeight="true" outlineLevel="0" collapsed="false">
      <c r="A24" s="24" t="n">
        <v>18</v>
      </c>
      <c r="B24" s="25"/>
      <c r="C24" s="25"/>
      <c r="D24" s="25"/>
      <c r="E24" s="27"/>
      <c r="F24" s="27"/>
      <c r="G24" s="28"/>
      <c r="H24" s="25"/>
      <c r="I24" s="25"/>
      <c r="J24" s="29"/>
      <c r="K24" s="24" t="str">
        <f aca="false">IF($E24="","",$F24-$E24+1)</f>
        <v/>
      </c>
      <c r="L24" s="24" t="str">
        <f aca="false">IF($E24="","",MAX(0,MIN($F24,$C$3)-MAX($E24,$C$2)+1))</f>
        <v/>
      </c>
      <c r="M24" s="30" t="str">
        <f aca="false">IFERROR($L24/$K24,"")</f>
        <v/>
      </c>
      <c r="N24" s="31" t="str">
        <f aca="false">IFERROR($G24*$M24,"")</f>
        <v/>
      </c>
      <c r="O24" s="25"/>
      <c r="P24" s="24" t="str">
        <f aca="false">IFERROR(INDEX(燃料係數計算!$C$7:$C$40,MATCH($O24,燃料係數計算!$A$7:$A$40,0)),IFERROR(INDEX(電力係數!$B$4:$B$20,MATCH($O24,電力係數!$A$4:$A$20,0)),""))</f>
        <v/>
      </c>
      <c r="Q24" s="24" t="str">
        <f aca="false">IFERROR(INDEX(燃料係數計算!$F$7:$F$40,MATCH($O24,燃料係數計算!$A$7:$A$40,0)),IFERROR(INDEX(電力係數!$D$4:$D$20,MATCH($O24,電力係數!$A$4:$A$20,0)),""))</f>
        <v/>
      </c>
      <c r="R24" s="24" t="str">
        <f aca="false">IF($H24="","",IF($H24=$Q24,"OK","單位不符"))</f>
        <v/>
      </c>
      <c r="S24" s="32" t="str">
        <f aca="false">IFERROR(INDEX(燃料係數計算!$U$7:$U$40,MATCH($O24,燃料係數計算!$A$7:$A$40,0)),IFERROR(INDEX(電力係數!$C$4:$C$20,MATCH($O24,電力係數!$A$4:$A$20,0)),""))</f>
        <v/>
      </c>
      <c r="T24" s="24" t="str">
        <f aca="false">IFERROR(IF(MATCH($O24,電力係數!$A$4:$A$20,0)&gt;0,"範疇二"),IF($O24="","","範疇一"))</f>
        <v/>
      </c>
      <c r="U24" s="33" t="str">
        <f aca="false">IFERROR($N24*$S24,"")</f>
        <v/>
      </c>
      <c r="V24" s="34" t="str">
        <f aca="false">IFERROR($U24/1000,"")</f>
        <v/>
      </c>
    </row>
    <row r="25" customFormat="false" ht="18" hidden="false" customHeight="true" outlineLevel="0" collapsed="false">
      <c r="A25" s="24" t="n">
        <v>19</v>
      </c>
      <c r="B25" s="25"/>
      <c r="C25" s="25"/>
      <c r="D25" s="25"/>
      <c r="E25" s="27"/>
      <c r="F25" s="27"/>
      <c r="G25" s="28"/>
      <c r="H25" s="25"/>
      <c r="I25" s="25"/>
      <c r="J25" s="29"/>
      <c r="K25" s="24" t="str">
        <f aca="false">IF($E25="","",$F25-$E25+1)</f>
        <v/>
      </c>
      <c r="L25" s="24" t="str">
        <f aca="false">IF($E25="","",MAX(0,MIN($F25,$C$3)-MAX($E25,$C$2)+1))</f>
        <v/>
      </c>
      <c r="M25" s="30" t="str">
        <f aca="false">IFERROR($L25/$K25,"")</f>
        <v/>
      </c>
      <c r="N25" s="31" t="str">
        <f aca="false">IFERROR($G25*$M25,"")</f>
        <v/>
      </c>
      <c r="O25" s="25"/>
      <c r="P25" s="24" t="str">
        <f aca="false">IFERROR(INDEX(燃料係數計算!$C$7:$C$40,MATCH($O25,燃料係數計算!$A$7:$A$40,0)),IFERROR(INDEX(電力係數!$B$4:$B$20,MATCH($O25,電力係數!$A$4:$A$20,0)),""))</f>
        <v/>
      </c>
      <c r="Q25" s="24" t="str">
        <f aca="false">IFERROR(INDEX(燃料係數計算!$F$7:$F$40,MATCH($O25,燃料係數計算!$A$7:$A$40,0)),IFERROR(INDEX(電力係數!$D$4:$D$20,MATCH($O25,電力係數!$A$4:$A$20,0)),""))</f>
        <v/>
      </c>
      <c r="R25" s="24" t="str">
        <f aca="false">IF($H25="","",IF($H25=$Q25,"OK","單位不符"))</f>
        <v/>
      </c>
      <c r="S25" s="32" t="str">
        <f aca="false">IFERROR(INDEX(燃料係數計算!$U$7:$U$40,MATCH($O25,燃料係數計算!$A$7:$A$40,0)),IFERROR(INDEX(電力係數!$C$4:$C$20,MATCH($O25,電力係數!$A$4:$A$20,0)),""))</f>
        <v/>
      </c>
      <c r="T25" s="24" t="str">
        <f aca="false">IFERROR(IF(MATCH($O25,電力係數!$A$4:$A$20,0)&gt;0,"範疇二"),IF($O25="","","範疇一"))</f>
        <v/>
      </c>
      <c r="U25" s="33" t="str">
        <f aca="false">IFERROR($N25*$S25,"")</f>
        <v/>
      </c>
      <c r="V25" s="34" t="str">
        <f aca="false">IFERROR($U25/1000,"")</f>
        <v/>
      </c>
    </row>
    <row r="26" customFormat="false" ht="18" hidden="false" customHeight="true" outlineLevel="0" collapsed="false">
      <c r="A26" s="24" t="n">
        <v>20</v>
      </c>
      <c r="B26" s="25"/>
      <c r="C26" s="25"/>
      <c r="D26" s="25"/>
      <c r="E26" s="27"/>
      <c r="F26" s="27"/>
      <c r="G26" s="28"/>
      <c r="H26" s="25"/>
      <c r="I26" s="25"/>
      <c r="J26" s="29"/>
      <c r="K26" s="24" t="str">
        <f aca="false">IF($E26="","",$F26-$E26+1)</f>
        <v/>
      </c>
      <c r="L26" s="24" t="str">
        <f aca="false">IF($E26="","",MAX(0,MIN($F26,$C$3)-MAX($E26,$C$2)+1))</f>
        <v/>
      </c>
      <c r="M26" s="30" t="str">
        <f aca="false">IFERROR($L26/$K26,"")</f>
        <v/>
      </c>
      <c r="N26" s="31" t="str">
        <f aca="false">IFERROR($G26*$M26,"")</f>
        <v/>
      </c>
      <c r="O26" s="25"/>
      <c r="P26" s="24" t="str">
        <f aca="false">IFERROR(INDEX(燃料係數計算!$C$7:$C$40,MATCH($O26,燃料係數計算!$A$7:$A$40,0)),IFERROR(INDEX(電力係數!$B$4:$B$20,MATCH($O26,電力係數!$A$4:$A$20,0)),""))</f>
        <v/>
      </c>
      <c r="Q26" s="24" t="str">
        <f aca="false">IFERROR(INDEX(燃料係數計算!$F$7:$F$40,MATCH($O26,燃料係數計算!$A$7:$A$40,0)),IFERROR(INDEX(電力係數!$D$4:$D$20,MATCH($O26,電力係數!$A$4:$A$20,0)),""))</f>
        <v/>
      </c>
      <c r="R26" s="24" t="str">
        <f aca="false">IF($H26="","",IF($H26=$Q26,"OK","單位不符"))</f>
        <v/>
      </c>
      <c r="S26" s="32" t="str">
        <f aca="false">IFERROR(INDEX(燃料係數計算!$U$7:$U$40,MATCH($O26,燃料係數計算!$A$7:$A$40,0)),IFERROR(INDEX(電力係數!$C$4:$C$20,MATCH($O26,電力係數!$A$4:$A$20,0)),""))</f>
        <v/>
      </c>
      <c r="T26" s="24" t="str">
        <f aca="false">IFERROR(IF(MATCH($O26,電力係數!$A$4:$A$20,0)&gt;0,"範疇二"),IF($O26="","","範疇一"))</f>
        <v/>
      </c>
      <c r="U26" s="33" t="str">
        <f aca="false">IFERROR($N26*$S26,"")</f>
        <v/>
      </c>
      <c r="V26" s="34" t="str">
        <f aca="false">IFERROR($U26/1000,"")</f>
        <v/>
      </c>
    </row>
    <row r="27" customFormat="false" ht="18" hidden="false" customHeight="true" outlineLevel="0" collapsed="false">
      <c r="A27" s="24" t="n">
        <v>21</v>
      </c>
      <c r="B27" s="25"/>
      <c r="C27" s="25"/>
      <c r="D27" s="25"/>
      <c r="E27" s="27"/>
      <c r="F27" s="27"/>
      <c r="G27" s="28"/>
      <c r="H27" s="25"/>
      <c r="I27" s="25"/>
      <c r="J27" s="29"/>
      <c r="K27" s="24" t="str">
        <f aca="false">IF($E27="","",$F27-$E27+1)</f>
        <v/>
      </c>
      <c r="L27" s="24" t="str">
        <f aca="false">IF($E27="","",MAX(0,MIN($F27,$C$3)-MAX($E27,$C$2)+1))</f>
        <v/>
      </c>
      <c r="M27" s="30" t="str">
        <f aca="false">IFERROR($L27/$K27,"")</f>
        <v/>
      </c>
      <c r="N27" s="31" t="str">
        <f aca="false">IFERROR($G27*$M27,"")</f>
        <v/>
      </c>
      <c r="O27" s="25"/>
      <c r="P27" s="24" t="str">
        <f aca="false">IFERROR(INDEX(燃料係數計算!$C$7:$C$40,MATCH($O27,燃料係數計算!$A$7:$A$40,0)),IFERROR(INDEX(電力係數!$B$4:$B$20,MATCH($O27,電力係數!$A$4:$A$20,0)),""))</f>
        <v/>
      </c>
      <c r="Q27" s="24" t="str">
        <f aca="false">IFERROR(INDEX(燃料係數計算!$F$7:$F$40,MATCH($O27,燃料係數計算!$A$7:$A$40,0)),IFERROR(INDEX(電力係數!$D$4:$D$20,MATCH($O27,電力係數!$A$4:$A$20,0)),""))</f>
        <v/>
      </c>
      <c r="R27" s="24" t="str">
        <f aca="false">IF($H27="","",IF($H27=$Q27,"OK","單位不符"))</f>
        <v/>
      </c>
      <c r="S27" s="32" t="str">
        <f aca="false">IFERROR(INDEX(燃料係數計算!$U$7:$U$40,MATCH($O27,燃料係數計算!$A$7:$A$40,0)),IFERROR(INDEX(電力係數!$C$4:$C$20,MATCH($O27,電力係數!$A$4:$A$20,0)),""))</f>
        <v/>
      </c>
      <c r="T27" s="24" t="str">
        <f aca="false">IFERROR(IF(MATCH($O27,電力係數!$A$4:$A$20,0)&gt;0,"範疇二"),IF($O27="","","範疇一"))</f>
        <v/>
      </c>
      <c r="U27" s="33" t="str">
        <f aca="false">IFERROR($N27*$S27,"")</f>
        <v/>
      </c>
      <c r="V27" s="34" t="str">
        <f aca="false">IFERROR($U27/1000,"")</f>
        <v/>
      </c>
    </row>
    <row r="28" customFormat="false" ht="18" hidden="false" customHeight="true" outlineLevel="0" collapsed="false">
      <c r="A28" s="24" t="n">
        <v>22</v>
      </c>
      <c r="B28" s="25"/>
      <c r="C28" s="25"/>
      <c r="D28" s="25"/>
      <c r="E28" s="27"/>
      <c r="F28" s="27"/>
      <c r="G28" s="28"/>
      <c r="H28" s="25"/>
      <c r="I28" s="25"/>
      <c r="J28" s="29"/>
      <c r="K28" s="24" t="str">
        <f aca="false">IF($E28="","",$F28-$E28+1)</f>
        <v/>
      </c>
      <c r="L28" s="24" t="str">
        <f aca="false">IF($E28="","",MAX(0,MIN($F28,$C$3)-MAX($E28,$C$2)+1))</f>
        <v/>
      </c>
      <c r="M28" s="30" t="str">
        <f aca="false">IFERROR($L28/$K28,"")</f>
        <v/>
      </c>
      <c r="N28" s="31" t="str">
        <f aca="false">IFERROR($G28*$M28,"")</f>
        <v/>
      </c>
      <c r="O28" s="25"/>
      <c r="P28" s="24" t="str">
        <f aca="false">IFERROR(INDEX(燃料係數計算!$C$7:$C$40,MATCH($O28,燃料係數計算!$A$7:$A$40,0)),IFERROR(INDEX(電力係數!$B$4:$B$20,MATCH($O28,電力係數!$A$4:$A$20,0)),""))</f>
        <v/>
      </c>
      <c r="Q28" s="24" t="str">
        <f aca="false">IFERROR(INDEX(燃料係數計算!$F$7:$F$40,MATCH($O28,燃料係數計算!$A$7:$A$40,0)),IFERROR(INDEX(電力係數!$D$4:$D$20,MATCH($O28,電力係數!$A$4:$A$20,0)),""))</f>
        <v/>
      </c>
      <c r="R28" s="24" t="str">
        <f aca="false">IF($H28="","",IF($H28=$Q28,"OK","單位不符"))</f>
        <v/>
      </c>
      <c r="S28" s="32" t="str">
        <f aca="false">IFERROR(INDEX(燃料係數計算!$U$7:$U$40,MATCH($O28,燃料係數計算!$A$7:$A$40,0)),IFERROR(INDEX(電力係數!$C$4:$C$20,MATCH($O28,電力係數!$A$4:$A$20,0)),""))</f>
        <v/>
      </c>
      <c r="T28" s="24" t="str">
        <f aca="false">IFERROR(IF(MATCH($O28,電力係數!$A$4:$A$20,0)&gt;0,"範疇二"),IF($O28="","","範疇一"))</f>
        <v/>
      </c>
      <c r="U28" s="33" t="str">
        <f aca="false">IFERROR($N28*$S28,"")</f>
        <v/>
      </c>
      <c r="V28" s="34" t="str">
        <f aca="false">IFERROR($U28/1000,"")</f>
        <v/>
      </c>
    </row>
    <row r="29" customFormat="false" ht="18" hidden="false" customHeight="true" outlineLevel="0" collapsed="false">
      <c r="A29" s="24" t="n">
        <v>23</v>
      </c>
      <c r="B29" s="25"/>
      <c r="C29" s="25"/>
      <c r="D29" s="25"/>
      <c r="E29" s="27"/>
      <c r="F29" s="27"/>
      <c r="G29" s="28"/>
      <c r="H29" s="25"/>
      <c r="I29" s="25"/>
      <c r="J29" s="29"/>
      <c r="K29" s="24" t="str">
        <f aca="false">IF($E29="","",$F29-$E29+1)</f>
        <v/>
      </c>
      <c r="L29" s="24" t="str">
        <f aca="false">IF($E29="","",MAX(0,MIN($F29,$C$3)-MAX($E29,$C$2)+1))</f>
        <v/>
      </c>
      <c r="M29" s="30" t="str">
        <f aca="false">IFERROR($L29/$K29,"")</f>
        <v/>
      </c>
      <c r="N29" s="31" t="str">
        <f aca="false">IFERROR($G29*$M29,"")</f>
        <v/>
      </c>
      <c r="O29" s="25"/>
      <c r="P29" s="24" t="str">
        <f aca="false">IFERROR(INDEX(燃料係數計算!$C$7:$C$40,MATCH($O29,燃料係數計算!$A$7:$A$40,0)),IFERROR(INDEX(電力係數!$B$4:$B$20,MATCH($O29,電力係數!$A$4:$A$20,0)),""))</f>
        <v/>
      </c>
      <c r="Q29" s="24" t="str">
        <f aca="false">IFERROR(INDEX(燃料係數計算!$F$7:$F$40,MATCH($O29,燃料係數計算!$A$7:$A$40,0)),IFERROR(INDEX(電力係數!$D$4:$D$20,MATCH($O29,電力係數!$A$4:$A$20,0)),""))</f>
        <v/>
      </c>
      <c r="R29" s="24" t="str">
        <f aca="false">IF($H29="","",IF($H29=$Q29,"OK","單位不符"))</f>
        <v/>
      </c>
      <c r="S29" s="32" t="str">
        <f aca="false">IFERROR(INDEX(燃料係數計算!$U$7:$U$40,MATCH($O29,燃料係數計算!$A$7:$A$40,0)),IFERROR(INDEX(電力係數!$C$4:$C$20,MATCH($O29,電力係數!$A$4:$A$20,0)),""))</f>
        <v/>
      </c>
      <c r="T29" s="24" t="str">
        <f aca="false">IFERROR(IF(MATCH($O29,電力係數!$A$4:$A$20,0)&gt;0,"範疇二"),IF($O29="","","範疇一"))</f>
        <v/>
      </c>
      <c r="U29" s="33" t="str">
        <f aca="false">IFERROR($N29*$S29,"")</f>
        <v/>
      </c>
      <c r="V29" s="34" t="str">
        <f aca="false">IFERROR($U29/1000,"")</f>
        <v/>
      </c>
    </row>
    <row r="30" customFormat="false" ht="18" hidden="false" customHeight="true" outlineLevel="0" collapsed="false">
      <c r="A30" s="24" t="n">
        <v>24</v>
      </c>
      <c r="B30" s="25"/>
      <c r="C30" s="25"/>
      <c r="D30" s="25"/>
      <c r="E30" s="27"/>
      <c r="F30" s="27"/>
      <c r="G30" s="28"/>
      <c r="H30" s="25"/>
      <c r="I30" s="25"/>
      <c r="J30" s="29"/>
      <c r="K30" s="24" t="str">
        <f aca="false">IF($E30="","",$F30-$E30+1)</f>
        <v/>
      </c>
      <c r="L30" s="24" t="str">
        <f aca="false">IF($E30="","",MAX(0,MIN($F30,$C$3)-MAX($E30,$C$2)+1))</f>
        <v/>
      </c>
      <c r="M30" s="30" t="str">
        <f aca="false">IFERROR($L30/$K30,"")</f>
        <v/>
      </c>
      <c r="N30" s="31" t="str">
        <f aca="false">IFERROR($G30*$M30,"")</f>
        <v/>
      </c>
      <c r="O30" s="25"/>
      <c r="P30" s="24" t="str">
        <f aca="false">IFERROR(INDEX(燃料係數計算!$C$7:$C$40,MATCH($O30,燃料係數計算!$A$7:$A$40,0)),IFERROR(INDEX(電力係數!$B$4:$B$20,MATCH($O30,電力係數!$A$4:$A$20,0)),""))</f>
        <v/>
      </c>
      <c r="Q30" s="24" t="str">
        <f aca="false">IFERROR(INDEX(燃料係數計算!$F$7:$F$40,MATCH($O30,燃料係數計算!$A$7:$A$40,0)),IFERROR(INDEX(電力係數!$D$4:$D$20,MATCH($O30,電力係數!$A$4:$A$20,0)),""))</f>
        <v/>
      </c>
      <c r="R30" s="24" t="str">
        <f aca="false">IF($H30="","",IF($H30=$Q30,"OK","單位不符"))</f>
        <v/>
      </c>
      <c r="S30" s="32" t="str">
        <f aca="false">IFERROR(INDEX(燃料係數計算!$U$7:$U$40,MATCH($O30,燃料係數計算!$A$7:$A$40,0)),IFERROR(INDEX(電力係數!$C$4:$C$20,MATCH($O30,電力係數!$A$4:$A$20,0)),""))</f>
        <v/>
      </c>
      <c r="T30" s="24" t="str">
        <f aca="false">IFERROR(IF(MATCH($O30,電力係數!$A$4:$A$20,0)&gt;0,"範疇二"),IF($O30="","","範疇一"))</f>
        <v/>
      </c>
      <c r="U30" s="33" t="str">
        <f aca="false">IFERROR($N30*$S30,"")</f>
        <v/>
      </c>
      <c r="V30" s="34" t="str">
        <f aca="false">IFERROR($U30/1000,"")</f>
        <v/>
      </c>
    </row>
    <row r="32" customFormat="false" ht="15" hidden="false" customHeight="true" outlineLevel="0" collapsed="false">
      <c r="B32" s="35" t="s">
        <v>169</v>
      </c>
    </row>
    <row r="33" customFormat="false" ht="15" hidden="false" customHeight="true" outlineLevel="0" collapsed="false">
      <c r="B33" s="36" t="s">
        <v>30</v>
      </c>
      <c r="U33" s="37" t="n">
        <f aca="false">SUMIFS($U$7:$U$30,$T$7:$T$30,"範疇一")</f>
        <v>805.21763212431</v>
      </c>
      <c r="V33" s="38" t="n">
        <f aca="false">$U33/1000</f>
        <v>0.80521763212431</v>
      </c>
    </row>
    <row r="34" customFormat="false" ht="15" hidden="false" customHeight="true" outlineLevel="0" collapsed="false">
      <c r="B34" s="36" t="s">
        <v>170</v>
      </c>
      <c r="U34" s="37" t="n">
        <f aca="false">SUMIFS($U$7:$U$30,$T$7:$T$30,"範疇二")</f>
        <v>6726.51870967742</v>
      </c>
      <c r="V34" s="38" t="n">
        <f aca="false">$U34/1000</f>
        <v>6.72651870967742</v>
      </c>
    </row>
    <row r="35" customFormat="false" ht="15" hidden="false" customHeight="true" outlineLevel="0" collapsed="false">
      <c r="B35" s="39" t="s">
        <v>171</v>
      </c>
      <c r="U35" s="37" t="n">
        <f aca="false">SUM($U$7:$U$30)</f>
        <v>7531.73634180173</v>
      </c>
      <c r="V35" s="38" t="n">
        <f aca="false">$U35/1000</f>
        <v>7.53173634180173</v>
      </c>
    </row>
    <row r="37" customFormat="false" ht="15" hidden="false" customHeight="true" outlineLevel="0" collapsed="false">
      <c r="B37" s="35" t="s">
        <v>172</v>
      </c>
    </row>
    <row r="38" customFormat="false" ht="15" hidden="false" customHeight="true" outlineLevel="0" collapsed="false">
      <c r="B38" s="40" t="s">
        <v>173</v>
      </c>
      <c r="G38" s="41" t="n">
        <f aca="false">COUNTIFS($I$7:$I$30,"實測")</f>
        <v>3</v>
      </c>
    </row>
    <row r="39" customFormat="false" ht="15" hidden="false" customHeight="true" outlineLevel="0" collapsed="false">
      <c r="B39" s="40" t="s">
        <v>174</v>
      </c>
      <c r="G39" s="41" t="n">
        <f aca="false">COUNTIFS($I$7:$I$30,"推估")</f>
        <v>2</v>
      </c>
    </row>
    <row r="40" customFormat="false" ht="15" hidden="false" customHeight="true" outlineLevel="0" collapsed="false">
      <c r="B40" s="40" t="s">
        <v>175</v>
      </c>
      <c r="G40" s="42" t="n">
        <f aca="false">IFERROR(SUMIFS($U$7:$U$30,$I$7:$I$30,"推估")/SUM($U$7:$U$30),0)</f>
        <v>0.40948806283192</v>
      </c>
    </row>
    <row r="42" customFormat="false" ht="15" hidden="false" customHeight="true" outlineLevel="0" collapsed="false">
      <c r="B42" s="43" t="s">
        <v>176</v>
      </c>
    </row>
  </sheetData>
  <mergeCells count="5">
    <mergeCell ref="A1:V1"/>
    <mergeCell ref="A4:V4"/>
    <mergeCell ref="A5:J5"/>
    <mergeCell ref="K5:N5"/>
    <mergeCell ref="O5:V5"/>
  </mergeCells>
  <dataValidations count="2">
    <dataValidation allowBlank="true" errorStyle="stop" operator="between" showDropDown="false" showErrorMessage="false" showInputMessage="false" sqref="C7:C30" type="list">
      <formula1>"電費單,電子發票,載具CSV,紙本發票OCR,瓦斯帳單,手動輸入"</formula1>
      <formula2>0</formula2>
    </dataValidation>
    <dataValidation allowBlank="true" errorStyle="stop" operator="between" showDropDown="false" showErrorMessage="false" showInputMessage="false" sqref="I7:I30" type="list">
      <formula1>"實測,推估"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8" min="5" style="0" width="12"/>
    <col collapsed="false" customWidth="true" hidden="false" outlineLevel="0" max="9" min="9" style="0" width="16"/>
    <col collapsed="false" customWidth="true" hidden="false" outlineLevel="0" max="10" min="10" style="0" width="30"/>
  </cols>
  <sheetData>
    <row r="1" customFormat="false" ht="18.55" hidden="false" customHeight="false" outlineLevel="0" collapsed="false">
      <c r="A1" s="1" t="s">
        <v>177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4.15" hidden="false" customHeight="false" outlineLevel="0" collapsed="false">
      <c r="A2" s="44" t="s">
        <v>178</v>
      </c>
      <c r="B2" s="44"/>
      <c r="C2" s="44"/>
      <c r="D2" s="44"/>
      <c r="E2" s="44"/>
      <c r="F2" s="44"/>
      <c r="G2" s="44"/>
      <c r="H2" s="44"/>
      <c r="I2" s="44"/>
      <c r="J2" s="44"/>
    </row>
    <row r="4" customFormat="false" ht="17.15" hidden="false" customHeight="false" outlineLevel="0" collapsed="false">
      <c r="A4" s="45" t="s">
        <v>179</v>
      </c>
      <c r="B4" s="45"/>
      <c r="C4" s="45"/>
      <c r="D4" s="45"/>
      <c r="E4" s="45"/>
      <c r="F4" s="45"/>
      <c r="G4" s="45"/>
      <c r="H4" s="45"/>
      <c r="I4" s="45"/>
      <c r="J4" s="45"/>
    </row>
    <row r="5" customFormat="false" ht="15" hidden="false" customHeight="false" outlineLevel="0" collapsed="false">
      <c r="B5" s="46" t="s">
        <v>180</v>
      </c>
      <c r="C5" s="46" t="s">
        <v>181</v>
      </c>
      <c r="D5" s="46" t="s">
        <v>182</v>
      </c>
      <c r="E5" s="46" t="s">
        <v>183</v>
      </c>
      <c r="F5" s="46" t="s">
        <v>184</v>
      </c>
      <c r="G5" s="46" t="s">
        <v>185</v>
      </c>
      <c r="H5" s="46" t="s">
        <v>186</v>
      </c>
      <c r="I5" s="47" t="s">
        <v>187</v>
      </c>
    </row>
    <row r="6" customFormat="false" ht="37.3" hidden="false" customHeight="false" outlineLevel="0" collapsed="false">
      <c r="A6" s="48" t="s">
        <v>188</v>
      </c>
      <c r="B6" s="0" t="n">
        <f aca="false">SUM(活動數據登錄!$U$7:$U$30)/1000</f>
        <v>7.53173634180173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f aca="false">SUM(B6:H6)</f>
        <v>7.53173634180173</v>
      </c>
      <c r="J6" s="49" t="s">
        <v>189</v>
      </c>
    </row>
    <row r="7" customFormat="false" ht="17.15" hidden="false" customHeight="false" outlineLevel="0" collapsed="false">
      <c r="A7" s="48" t="s">
        <v>190</v>
      </c>
      <c r="B7" s="50" t="n">
        <f aca="false">IFERROR(B6/$I$6,0)</f>
        <v>1</v>
      </c>
      <c r="C7" s="50" t="n">
        <f aca="false">IFERROR(C6/$I$6,0)</f>
        <v>0</v>
      </c>
      <c r="D7" s="50" t="n">
        <f aca="false">IFERROR(D6/$I$6,0)</f>
        <v>0</v>
      </c>
      <c r="E7" s="50" t="n">
        <f aca="false">IFERROR(E6/$I$6,0)</f>
        <v>0</v>
      </c>
      <c r="F7" s="50" t="n">
        <f aca="false">IFERROR(F6/$I$6,0)</f>
        <v>0</v>
      </c>
      <c r="G7" s="50" t="n">
        <f aca="false">IFERROR(G6/$I$6,0)</f>
        <v>0</v>
      </c>
      <c r="H7" s="50" t="n">
        <f aca="false">IFERROR(H6/$I$6,0)</f>
        <v>0</v>
      </c>
      <c r="I7" s="50" t="n">
        <f aca="false">IFERROR(I6/$I$6,0)</f>
        <v>1</v>
      </c>
    </row>
    <row r="9" customFormat="false" ht="17.15" hidden="false" customHeight="false" outlineLevel="0" collapsed="false">
      <c r="A9" s="45" t="s">
        <v>191</v>
      </c>
      <c r="B9" s="45"/>
      <c r="C9" s="45"/>
      <c r="D9" s="45"/>
      <c r="E9" s="45"/>
      <c r="F9" s="45"/>
      <c r="G9" s="45"/>
      <c r="H9" s="45"/>
      <c r="I9" s="45"/>
      <c r="J9" s="45"/>
    </row>
    <row r="10" customFormat="false" ht="25.5" hidden="false" customHeight="true" outlineLevel="0" collapsed="false">
      <c r="A10" s="4" t="s">
        <v>192</v>
      </c>
      <c r="B10" s="51" t="n">
        <f aca="false">SUMIFS(活動數據登錄!$U$7:$U$30,活動數據登錄!$T$7:$T$30,"範疇一",活動數據登錄!$Q$7:$Q$30,"&lt;&gt;度")/1000</f>
        <v>0.80521763212431</v>
      </c>
      <c r="C10" s="52" t="n">
        <f aca="false">IFERROR(IF(ISNUMBER($B10),$B10/$B$15,""),"")</f>
        <v>0.106909960144952</v>
      </c>
      <c r="D10" s="53" t="s">
        <v>193</v>
      </c>
      <c r="E10" s="53"/>
      <c r="F10" s="53"/>
      <c r="G10" s="53"/>
      <c r="H10" s="53"/>
    </row>
    <row r="11" customFormat="false" ht="25.5" hidden="false" customHeight="true" outlineLevel="0" collapsed="false">
      <c r="A11" s="4" t="s">
        <v>194</v>
      </c>
      <c r="B11" s="54" t="s">
        <v>195</v>
      </c>
      <c r="C11" s="52" t="str">
        <f aca="false">IFERROR(IF(ISNUMBER($B11),$B11/$B$15,""),"")</f>
        <v/>
      </c>
      <c r="D11" s="53" t="s">
        <v>196</v>
      </c>
      <c r="E11" s="53"/>
      <c r="F11" s="53"/>
      <c r="G11" s="53"/>
      <c r="H11" s="53"/>
    </row>
    <row r="12" customFormat="false" ht="25.5" hidden="false" customHeight="true" outlineLevel="0" collapsed="false">
      <c r="A12" s="55" t="s">
        <v>197</v>
      </c>
      <c r="B12" s="56" t="n">
        <f aca="false">SUMIFS(活動數據登錄!$U$7:$U$30,活動數據登錄!$T$7:$T$30,"範疇一")/1000</f>
        <v>0.80521763212431</v>
      </c>
      <c r="C12" s="52" t="n">
        <f aca="false">IFERROR(IF(ISNUMBER($B12),$B12/$B$15,""),"")</f>
        <v>0.106909960144952</v>
      </c>
      <c r="D12" s="53"/>
      <c r="E12" s="53"/>
      <c r="F12" s="53"/>
      <c r="G12" s="53"/>
      <c r="H12" s="53"/>
    </row>
    <row r="13" customFormat="false" ht="25.5" hidden="false" customHeight="true" outlineLevel="0" collapsed="false">
      <c r="A13" s="4" t="s">
        <v>198</v>
      </c>
      <c r="B13" s="54" t="n">
        <f aca="false">SUMIFS(活動數據登錄!$U$7:$U$30,活動數據登錄!$T$7:$T$30,"範疇二")/1000</f>
        <v>6.72651870967742</v>
      </c>
      <c r="C13" s="52" t="n">
        <f aca="false">IFERROR(IF(ISNUMBER($B13),$B13/$B$15,""),"")</f>
        <v>0.893090039855048</v>
      </c>
      <c r="D13" s="53"/>
      <c r="E13" s="53"/>
      <c r="F13" s="53"/>
      <c r="G13" s="53"/>
      <c r="H13" s="53"/>
    </row>
    <row r="14" customFormat="false" ht="25.5" hidden="false" customHeight="true" outlineLevel="0" collapsed="false">
      <c r="A14" s="4" t="s">
        <v>199</v>
      </c>
      <c r="B14" s="54" t="n">
        <v>0</v>
      </c>
      <c r="C14" s="52" t="n">
        <f aca="false">IFERROR(IF(ISNUMBER($B14),$B14/$B$15,""),"")</f>
        <v>0</v>
      </c>
      <c r="D14" s="53" t="s">
        <v>200</v>
      </c>
      <c r="E14" s="53"/>
      <c r="F14" s="53"/>
      <c r="G14" s="53"/>
      <c r="H14" s="53"/>
    </row>
    <row r="15" customFormat="false" ht="25.5" hidden="false" customHeight="true" outlineLevel="0" collapsed="false">
      <c r="A15" s="55" t="s">
        <v>201</v>
      </c>
      <c r="B15" s="56" t="n">
        <f aca="false">SUM(活動數據登錄!$U$7:$U$30)/1000</f>
        <v>7.53173634180173</v>
      </c>
      <c r="C15" s="52" t="n">
        <f aca="false">IFERROR(IF(ISNUMBER($B15),$B15/$B$15,""),"")</f>
        <v>1</v>
      </c>
      <c r="D15" s="53"/>
      <c r="E15" s="53"/>
      <c r="F15" s="53"/>
      <c r="G15" s="53"/>
      <c r="H15" s="53"/>
    </row>
    <row r="17" customFormat="false" ht="15" hidden="false" customHeight="false" outlineLevel="0" collapsed="false">
      <c r="A17" s="45" t="s">
        <v>202</v>
      </c>
      <c r="B17" s="45"/>
      <c r="C17" s="45"/>
      <c r="D17" s="45"/>
      <c r="E17" s="45"/>
      <c r="F17" s="45"/>
      <c r="G17" s="45"/>
      <c r="H17" s="45"/>
      <c r="I17" s="45"/>
      <c r="J17" s="45"/>
    </row>
    <row r="18" customFormat="false" ht="15" hidden="false" customHeight="false" outlineLevel="0" collapsed="false">
      <c r="A18" s="4" t="s">
        <v>173</v>
      </c>
      <c r="B18" s="57" t="n">
        <f aca="false">COUNTIFS(活動數據登錄!$I$7:$I$30,"實測")</f>
        <v>3</v>
      </c>
    </row>
    <row r="19" customFormat="false" ht="15" hidden="false" customHeight="false" outlineLevel="0" collapsed="false">
      <c r="A19" s="4" t="s">
        <v>174</v>
      </c>
      <c r="B19" s="57" t="n">
        <f aca="false">COUNTIFS(活動數據登錄!$I$7:$I$30,"推估")</f>
        <v>2</v>
      </c>
    </row>
    <row r="20" customFormat="false" ht="15" hidden="false" customHeight="false" outlineLevel="0" collapsed="false">
      <c r="A20" s="4" t="s">
        <v>175</v>
      </c>
      <c r="B20" s="58" t="n">
        <f aca="false">IFERROR(SUMIFS(活動數據登錄!$U$7:$U$30,活動數據登錄!$I$7:$I$30,"推估")/SUM(活動數據登錄!$U$7:$U$30),0)</f>
        <v>0.40948806283192</v>
      </c>
    </row>
    <row r="21" customFormat="false" ht="15" hidden="false" customHeight="false" outlineLevel="0" collapsed="false">
      <c r="A21" s="4" t="s">
        <v>203</v>
      </c>
      <c r="B21" s="57" t="n">
        <f aca="false">COUNTA(表三_排放源清冊!$A$4:$A$23)</f>
        <v>5</v>
      </c>
    </row>
    <row r="22" customFormat="false" ht="15" hidden="false" customHeight="false" outlineLevel="0" collapsed="false">
      <c r="A22" s="4" t="s">
        <v>204</v>
      </c>
      <c r="B22" s="57" t="n">
        <f aca="false">COUNTA(活動數據登錄!$O$7:$O$30)</f>
        <v>5</v>
      </c>
    </row>
    <row r="24" customFormat="false" ht="15" hidden="false" customHeight="true" outlineLevel="0" collapsed="false">
      <c r="A24" s="59" t="s">
        <v>205</v>
      </c>
      <c r="B24" s="59"/>
      <c r="C24" s="59"/>
      <c r="D24" s="59"/>
      <c r="E24" s="59"/>
      <c r="F24" s="59"/>
      <c r="G24" s="59"/>
      <c r="H24" s="59"/>
      <c r="I24" s="59"/>
      <c r="J24" s="59"/>
    </row>
    <row r="25" customFormat="false" ht="15" hidden="false" customHeight="false" outlineLevel="0" collapsed="false">
      <c r="A25" s="59"/>
      <c r="B25" s="59"/>
      <c r="C25" s="59"/>
      <c r="D25" s="59"/>
      <c r="E25" s="59"/>
      <c r="F25" s="59"/>
      <c r="G25" s="59"/>
      <c r="H25" s="59"/>
      <c r="I25" s="59"/>
      <c r="J25" s="59"/>
    </row>
  </sheetData>
  <mergeCells count="12">
    <mergeCell ref="A1:J1"/>
    <mergeCell ref="A2:J2"/>
    <mergeCell ref="A4:J4"/>
    <mergeCell ref="A9:J9"/>
    <mergeCell ref="D10:H10"/>
    <mergeCell ref="D11:H11"/>
    <mergeCell ref="D12:H12"/>
    <mergeCell ref="D13:H13"/>
    <mergeCell ref="D14:H14"/>
    <mergeCell ref="D15:H15"/>
    <mergeCell ref="A17:J17"/>
    <mergeCell ref="A24:J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6" topLeftCell="G7" activePane="bottomRight" state="frozen"/>
      <selection pane="topLeft" activeCell="A1" activeCellId="0" sqref="A1"/>
      <selection pane="topRight" activeCell="G1" activeCellId="0" sqref="G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5" width="19"/>
    <col collapsed="false" customWidth="true" hidden="false" outlineLevel="0" max="2" min="2" style="15" width="20"/>
    <col collapsed="false" customWidth="true" hidden="false" outlineLevel="0" max="3" min="3" style="15" width="14"/>
    <col collapsed="false" customWidth="true" hidden="false" outlineLevel="0" max="4" min="4" style="15" width="10"/>
    <col collapsed="false" customWidth="true" hidden="false" outlineLevel="0" max="5" min="5" style="15" width="18"/>
    <col collapsed="false" customWidth="true" hidden="false" outlineLevel="0" max="6" min="6" style="15" width="10"/>
    <col collapsed="false" customWidth="true" hidden="false" outlineLevel="0" max="9" min="7" style="15" width="9"/>
    <col collapsed="false" customWidth="true" hidden="false" outlineLevel="0" max="10" min="10" style="15" width="12"/>
    <col collapsed="false" customWidth="true" hidden="false" outlineLevel="0" max="11" min="11" style="15" width="20"/>
    <col collapsed="false" customWidth="true" hidden="false" outlineLevel="0" max="12" min="12" style="15" width="12"/>
    <col collapsed="false" customWidth="true" hidden="false" outlineLevel="0" max="13" min="13" style="15" width="11"/>
    <col collapsed="false" customWidth="true" hidden="false" outlineLevel="0" max="14" min="14" style="15" width="26"/>
    <col collapsed="false" customWidth="true" hidden="false" outlineLevel="0" max="15" min="15" style="15" width="14"/>
    <col collapsed="false" customWidth="true" hidden="false" outlineLevel="0" max="18" min="16" style="15" width="12"/>
    <col collapsed="false" customWidth="true" hidden="false" outlineLevel="0" max="20" min="19" style="15" width="8"/>
    <col collapsed="false" customWidth="true" hidden="false" outlineLevel="0" max="21" min="21" style="15" width="14"/>
    <col collapsed="false" customWidth="true" hidden="false" outlineLevel="0" max="22" min="22" style="15" width="26"/>
    <col collapsed="false" customWidth="true" hidden="false" outlineLevel="0" max="23" min="23" style="15" width="46"/>
  </cols>
  <sheetData>
    <row r="1" customFormat="false" ht="18" hidden="false" customHeight="true" outlineLevel="0" collapsed="false">
      <c r="A1" s="16" t="s">
        <v>206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customFormat="false" ht="15" hidden="false" customHeight="true" outlineLevel="0" collapsed="false">
      <c r="A2" s="17" t="s">
        <v>207</v>
      </c>
      <c r="C2" s="60" t="n">
        <v>4.1868E-009</v>
      </c>
      <c r="D2" s="61" t="s">
        <v>208</v>
      </c>
    </row>
    <row r="3" customFormat="false" ht="15" hidden="false" customHeight="true" outlineLevel="0" collapsed="false">
      <c r="A3" s="17" t="s">
        <v>209</v>
      </c>
      <c r="C3" s="62" t="s">
        <v>210</v>
      </c>
      <c r="D3" s="17" t="s">
        <v>211</v>
      </c>
    </row>
    <row r="4" customFormat="false" ht="15" hidden="false" customHeight="true" outlineLevel="0" collapsed="false">
      <c r="A4" s="19" t="s">
        <v>212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customFormat="false" ht="15" hidden="false" customHeight="true" outlineLevel="0" collapsed="false">
      <c r="A5" s="20" t="s">
        <v>213</v>
      </c>
      <c r="B5" s="20"/>
      <c r="C5" s="20"/>
      <c r="D5" s="20"/>
      <c r="E5" s="20"/>
      <c r="F5" s="20"/>
      <c r="G5" s="63" t="s">
        <v>214</v>
      </c>
      <c r="H5" s="63"/>
      <c r="I5" s="63"/>
      <c r="J5" s="63"/>
      <c r="K5" s="63"/>
      <c r="L5" s="63"/>
      <c r="M5" s="21" t="s">
        <v>215</v>
      </c>
      <c r="N5" s="21"/>
      <c r="O5" s="21"/>
      <c r="P5" s="22" t="s">
        <v>216</v>
      </c>
      <c r="Q5" s="22"/>
      <c r="R5" s="22"/>
      <c r="S5" s="22"/>
      <c r="T5" s="22"/>
      <c r="U5" s="22"/>
      <c r="V5" s="64" t="s">
        <v>217</v>
      </c>
      <c r="W5" s="64"/>
    </row>
    <row r="6" customFormat="false" ht="33.75" hidden="false" customHeight="true" outlineLevel="0" collapsed="false">
      <c r="A6" s="23" t="s">
        <v>141</v>
      </c>
      <c r="B6" s="65" t="s">
        <v>218</v>
      </c>
      <c r="C6" s="23" t="s">
        <v>219</v>
      </c>
      <c r="D6" s="23" t="s">
        <v>220</v>
      </c>
      <c r="E6" s="23" t="s">
        <v>221</v>
      </c>
      <c r="F6" s="23" t="s">
        <v>222</v>
      </c>
      <c r="G6" s="65" t="s">
        <v>223</v>
      </c>
      <c r="H6" s="65" t="s">
        <v>224</v>
      </c>
      <c r="I6" s="65" t="s">
        <v>225</v>
      </c>
      <c r="J6" s="23" t="s">
        <v>226</v>
      </c>
      <c r="K6" s="23" t="s">
        <v>227</v>
      </c>
      <c r="L6" s="23" t="s">
        <v>62</v>
      </c>
      <c r="M6" s="23" t="s">
        <v>228</v>
      </c>
      <c r="N6" s="23" t="s">
        <v>229</v>
      </c>
      <c r="O6" s="23" t="s">
        <v>230</v>
      </c>
      <c r="P6" s="65" t="s">
        <v>231</v>
      </c>
      <c r="Q6" s="65" t="s">
        <v>232</v>
      </c>
      <c r="R6" s="65" t="s">
        <v>233</v>
      </c>
      <c r="S6" s="65" t="s">
        <v>234</v>
      </c>
      <c r="T6" s="65" t="s">
        <v>235</v>
      </c>
      <c r="U6" s="23" t="s">
        <v>236</v>
      </c>
      <c r="V6" s="23" t="s">
        <v>237</v>
      </c>
      <c r="W6" s="23" t="s">
        <v>238</v>
      </c>
    </row>
    <row r="7" customFormat="false" ht="45.75" hidden="false" customHeight="true" outlineLevel="0" collapsed="false">
      <c r="A7" s="24" t="s">
        <v>239</v>
      </c>
      <c r="B7" s="24" t="s">
        <v>240</v>
      </c>
      <c r="C7" s="66" t="s">
        <v>241</v>
      </c>
      <c r="D7" s="66" t="s">
        <v>107</v>
      </c>
      <c r="E7" s="67" t="s">
        <v>242</v>
      </c>
      <c r="F7" s="66" t="s">
        <v>161</v>
      </c>
      <c r="G7" s="68" t="n">
        <v>69300</v>
      </c>
      <c r="H7" s="68" t="n">
        <v>3</v>
      </c>
      <c r="I7" s="68" t="n">
        <v>0.6</v>
      </c>
      <c r="J7" s="69" t="s">
        <v>243</v>
      </c>
      <c r="K7" s="70" t="s">
        <v>244</v>
      </c>
      <c r="L7" s="68" t="s">
        <v>91</v>
      </c>
      <c r="M7" s="25" t="n">
        <v>7520</v>
      </c>
      <c r="N7" s="29" t="s">
        <v>245</v>
      </c>
      <c r="O7" s="26" t="s">
        <v>246</v>
      </c>
      <c r="P7" s="71" t="n">
        <f aca="false">$G7*$C$2*$M7</f>
        <v>2.1818922048</v>
      </c>
      <c r="Q7" s="71" t="n">
        <f aca="false">$H7*$C$2*$M7</f>
        <v>9.4454208E-005</v>
      </c>
      <c r="R7" s="71" t="n">
        <f aca="false">$I7*$C$2*$M7</f>
        <v>1.88908416E-005</v>
      </c>
      <c r="S7" s="24" t="n">
        <f aca="false">IFERROR(SUMIFS(GWP表!$D$4:$D$20,GWP表!$A$4:$A$20,$C$3,GWP表!$B$4:$B$20,$J7),0)</f>
        <v>28</v>
      </c>
      <c r="T7" s="24" t="n">
        <f aca="false">IFERROR(SUMIFS(GWP表!$D$4:$D$20,GWP表!$A$4:$A$20,$C$3,GWP表!$B$4:$B$20,"氧化亞氮"),0)</f>
        <v>265</v>
      </c>
      <c r="U7" s="72" t="n">
        <f aca="false">$P7+$Q7*$S7+$R7*$T7</f>
        <v>2.189542995648</v>
      </c>
      <c r="V7" s="67" t="s">
        <v>247</v>
      </c>
      <c r="W7" s="67" t="s">
        <v>248</v>
      </c>
    </row>
    <row r="8" customFormat="false" ht="45.75" hidden="false" customHeight="true" outlineLevel="0" collapsed="false">
      <c r="A8" s="24" t="s">
        <v>115</v>
      </c>
      <c r="B8" s="24" t="s">
        <v>249</v>
      </c>
      <c r="C8" s="66" t="s">
        <v>250</v>
      </c>
      <c r="D8" s="66" t="s">
        <v>107</v>
      </c>
      <c r="E8" s="67" t="s">
        <v>242</v>
      </c>
      <c r="F8" s="66" t="s">
        <v>161</v>
      </c>
      <c r="G8" s="68" t="n">
        <v>74100</v>
      </c>
      <c r="H8" s="68" t="n">
        <v>3</v>
      </c>
      <c r="I8" s="68" t="n">
        <v>0.6</v>
      </c>
      <c r="J8" s="69" t="s">
        <v>243</v>
      </c>
      <c r="K8" s="70" t="s">
        <v>251</v>
      </c>
      <c r="L8" s="68" t="s">
        <v>114</v>
      </c>
      <c r="M8" s="25" t="n">
        <v>8629</v>
      </c>
      <c r="N8" s="29" t="s">
        <v>245</v>
      </c>
      <c r="O8" s="26" t="s">
        <v>246</v>
      </c>
      <c r="P8" s="71" t="n">
        <f aca="false">$G8*$C$2*$M8</f>
        <v>2.67707718252</v>
      </c>
      <c r="Q8" s="71" t="n">
        <f aca="false">$H8*$C$2*$M8</f>
        <v>0.0001083836916</v>
      </c>
      <c r="R8" s="71" t="n">
        <f aca="false">$I8*$C$2*$M8</f>
        <v>2.167673832E-005</v>
      </c>
      <c r="S8" s="24" t="n">
        <f aca="false">IFERROR(SUMIFS(GWP表!$D$4:$D$20,GWP表!$A$4:$A$20,$C$3,GWP表!$B$4:$B$20,$J8),0)</f>
        <v>28</v>
      </c>
      <c r="T8" s="24" t="n">
        <f aca="false">IFERROR(SUMIFS(GWP表!$D$4:$D$20,GWP表!$A$4:$A$20,$C$3,GWP表!$B$4:$B$20,"氧化亞氮"),0)</f>
        <v>265</v>
      </c>
      <c r="U8" s="72" t="n">
        <f aca="false">$P8+$Q8*$S8+$R8*$T8</f>
        <v>2.6858562615396</v>
      </c>
      <c r="V8" s="73" t="s">
        <v>252</v>
      </c>
      <c r="W8" s="67" t="s">
        <v>248</v>
      </c>
    </row>
    <row r="9" customFormat="false" ht="45.75" hidden="false" customHeight="true" outlineLevel="0" collapsed="false">
      <c r="A9" s="24" t="s">
        <v>253</v>
      </c>
      <c r="B9" s="24" t="s">
        <v>254</v>
      </c>
      <c r="C9" s="66" t="s">
        <v>255</v>
      </c>
      <c r="D9" s="66" t="s">
        <v>107</v>
      </c>
      <c r="E9" s="67" t="s">
        <v>242</v>
      </c>
      <c r="F9" s="66" t="s">
        <v>161</v>
      </c>
      <c r="G9" s="68" t="n">
        <v>63100</v>
      </c>
      <c r="H9" s="68" t="n">
        <v>1</v>
      </c>
      <c r="I9" s="68" t="n">
        <v>0.1</v>
      </c>
      <c r="J9" s="69" t="s">
        <v>243</v>
      </c>
      <c r="K9" s="70" t="s">
        <v>256</v>
      </c>
      <c r="L9" s="68" t="s">
        <v>257</v>
      </c>
      <c r="M9" s="25" t="n">
        <v>5958</v>
      </c>
      <c r="N9" s="29" t="s">
        <v>245</v>
      </c>
      <c r="O9" s="26" t="s">
        <v>246</v>
      </c>
      <c r="P9" s="71" t="n">
        <f aca="false">$G9*$C$2*$M9</f>
        <v>1.57402662264</v>
      </c>
      <c r="Q9" s="71" t="n">
        <f aca="false">$H9*$C$2*$M9</f>
        <v>2.49449544E-005</v>
      </c>
      <c r="R9" s="71" t="n">
        <f aca="false">$I9*$C$2*$M9</f>
        <v>2.49449544E-006</v>
      </c>
      <c r="S9" s="24" t="n">
        <f aca="false">IFERROR(SUMIFS(GWP表!$D$4:$D$20,GWP表!$A$4:$A$20,$C$3,GWP表!$B$4:$B$20,$J9),0)</f>
        <v>28</v>
      </c>
      <c r="T9" s="24" t="n">
        <f aca="false">IFERROR(SUMIFS(GWP表!$D$4:$D$20,GWP表!$A$4:$A$20,$C$3,GWP表!$B$4:$B$20,"氧化亞氮"),0)</f>
        <v>265</v>
      </c>
      <c r="U9" s="72" t="n">
        <f aca="false">$P9+$Q9*$S9+$R9*$T9</f>
        <v>1.5753861226548</v>
      </c>
      <c r="V9" s="73" t="s">
        <v>258</v>
      </c>
      <c r="W9" s="67" t="s">
        <v>259</v>
      </c>
    </row>
    <row r="10" customFormat="false" ht="45.75" hidden="false" customHeight="true" outlineLevel="0" collapsed="false">
      <c r="A10" s="24" t="s">
        <v>108</v>
      </c>
      <c r="B10" s="24" t="s">
        <v>260</v>
      </c>
      <c r="C10" s="66" t="s">
        <v>261</v>
      </c>
      <c r="D10" s="66" t="s">
        <v>107</v>
      </c>
      <c r="E10" s="67" t="s">
        <v>242</v>
      </c>
      <c r="F10" s="66" t="s">
        <v>167</v>
      </c>
      <c r="G10" s="68" t="n">
        <v>56100</v>
      </c>
      <c r="H10" s="68" t="n">
        <v>1</v>
      </c>
      <c r="I10" s="68" t="n">
        <v>0.1</v>
      </c>
      <c r="J10" s="69" t="s">
        <v>243</v>
      </c>
      <c r="K10" s="70" t="s">
        <v>262</v>
      </c>
      <c r="L10" s="68" t="s">
        <v>106</v>
      </c>
      <c r="M10" s="25" t="n">
        <v>8107</v>
      </c>
      <c r="N10" s="29" t="s">
        <v>263</v>
      </c>
      <c r="O10" s="26" t="s">
        <v>264</v>
      </c>
      <c r="P10" s="71" t="n">
        <f aca="false">$G10*$C$2*$M10</f>
        <v>1.90416794436</v>
      </c>
      <c r="Q10" s="71" t="n">
        <f aca="false">$H10*$C$2*$M10</f>
        <v>3.39423876E-005</v>
      </c>
      <c r="R10" s="71" t="n">
        <f aca="false">$I10*$C$2*$M10</f>
        <v>3.39423876E-006</v>
      </c>
      <c r="S10" s="24" t="n">
        <f aca="false">IFERROR(SUMIFS(GWP表!$D$4:$D$20,GWP表!$A$4:$A$20,$C$3,GWP表!$B$4:$B$20,$J10),0)</f>
        <v>28</v>
      </c>
      <c r="T10" s="24" t="n">
        <f aca="false">IFERROR(SUMIFS(GWP表!$D$4:$D$20,GWP表!$A$4:$A$20,$C$3,GWP表!$B$4:$B$20,"氧化亞氮"),0)</f>
        <v>265</v>
      </c>
      <c r="U10" s="72" t="n">
        <f aca="false">$P10+$Q10*$S10+$R10*$T10</f>
        <v>1.9060178044842</v>
      </c>
      <c r="V10" s="73" t="s">
        <v>265</v>
      </c>
      <c r="W10" s="73" t="s">
        <v>266</v>
      </c>
    </row>
    <row r="11" customFormat="false" ht="45.75" hidden="false" customHeight="true" outlineLevel="0" collapsed="false">
      <c r="A11" s="24" t="s">
        <v>267</v>
      </c>
      <c r="B11" s="24" t="s">
        <v>268</v>
      </c>
      <c r="C11" s="66" t="s">
        <v>269</v>
      </c>
      <c r="D11" s="66" t="s">
        <v>107</v>
      </c>
      <c r="E11" s="67" t="s">
        <v>242</v>
      </c>
      <c r="F11" s="66" t="s">
        <v>161</v>
      </c>
      <c r="G11" s="68" t="n">
        <v>77400</v>
      </c>
      <c r="H11" s="68" t="n">
        <v>3</v>
      </c>
      <c r="I11" s="68" t="n">
        <v>0.6</v>
      </c>
      <c r="J11" s="69" t="s">
        <v>243</v>
      </c>
      <c r="K11" s="70" t="s">
        <v>270</v>
      </c>
      <c r="L11" s="68" t="s">
        <v>271</v>
      </c>
      <c r="M11" s="25" t="n">
        <v>9320</v>
      </c>
      <c r="N11" s="29" t="s">
        <v>245</v>
      </c>
      <c r="O11" s="26" t="s">
        <v>246</v>
      </c>
      <c r="P11" s="71" t="n">
        <f aca="false">$G11*$C$2*$M11</f>
        <v>3.0202235424</v>
      </c>
      <c r="Q11" s="71" t="n">
        <f aca="false">$H11*$C$2*$M11</f>
        <v>0.000117062928</v>
      </c>
      <c r="R11" s="71" t="n">
        <f aca="false">$I11*$C$2*$M11</f>
        <v>2.34125856E-005</v>
      </c>
      <c r="S11" s="24" t="n">
        <f aca="false">IFERROR(SUMIFS(GWP表!$D$4:$D$20,GWP表!$A$4:$A$20,$C$3,GWP表!$B$4:$B$20,$J11),0)</f>
        <v>28</v>
      </c>
      <c r="T11" s="24" t="n">
        <f aca="false">IFERROR(SUMIFS(GWP表!$D$4:$D$20,GWP表!$A$4:$A$20,$C$3,GWP表!$B$4:$B$20,"氧化亞氮"),0)</f>
        <v>265</v>
      </c>
      <c r="U11" s="72" t="n">
        <f aca="false">$P11+$Q11*$S11+$R11*$T11</f>
        <v>3.029705639568</v>
      </c>
      <c r="V11" s="73" t="s">
        <v>272</v>
      </c>
      <c r="W11" s="67" t="s">
        <v>248</v>
      </c>
    </row>
    <row r="12" customFormat="false" ht="45.75" hidden="false" customHeight="true" outlineLevel="0" collapsed="false">
      <c r="A12" s="24" t="s">
        <v>273</v>
      </c>
      <c r="B12" s="24" t="s">
        <v>274</v>
      </c>
      <c r="C12" s="66" t="s">
        <v>275</v>
      </c>
      <c r="D12" s="66" t="s">
        <v>107</v>
      </c>
      <c r="E12" s="67" t="s">
        <v>242</v>
      </c>
      <c r="F12" s="66" t="s">
        <v>161</v>
      </c>
      <c r="G12" s="68" t="n">
        <v>71900</v>
      </c>
      <c r="H12" s="68" t="n">
        <v>3</v>
      </c>
      <c r="I12" s="68" t="n">
        <v>0.6</v>
      </c>
      <c r="J12" s="69" t="s">
        <v>243</v>
      </c>
      <c r="K12" s="70" t="s">
        <v>276</v>
      </c>
      <c r="L12" s="68" t="s">
        <v>277</v>
      </c>
      <c r="M12" s="25" t="n">
        <v>8500</v>
      </c>
      <c r="N12" s="29" t="s">
        <v>245</v>
      </c>
      <c r="O12" s="26" t="s">
        <v>278</v>
      </c>
      <c r="P12" s="71" t="n">
        <f aca="false">$G12*$C$2*$M12</f>
        <v>2.55876282</v>
      </c>
      <c r="Q12" s="71" t="n">
        <f aca="false">$H12*$C$2*$M12</f>
        <v>0.0001067634</v>
      </c>
      <c r="R12" s="71" t="n">
        <f aca="false">$I12*$C$2*$M12</f>
        <v>2.135268E-005</v>
      </c>
      <c r="S12" s="24" t="n">
        <f aca="false">IFERROR(SUMIFS(GWP表!$D$4:$D$20,GWP表!$A$4:$A$20,$C$3,GWP表!$B$4:$B$20,$J12),0)</f>
        <v>28</v>
      </c>
      <c r="T12" s="24" t="n">
        <f aca="false">IFERROR(SUMIFS(GWP表!$D$4:$D$20,GWP表!$A$4:$A$20,$C$3,GWP表!$B$4:$B$20,"氧化亞氮"),0)</f>
        <v>265</v>
      </c>
      <c r="U12" s="72" t="n">
        <f aca="false">$P12+$Q12*$S12+$R12*$T12</f>
        <v>2.5674106554</v>
      </c>
      <c r="V12" s="73" t="s">
        <v>279</v>
      </c>
      <c r="W12" s="6"/>
    </row>
    <row r="13" customFormat="false" ht="45.75" hidden="false" customHeight="true" outlineLevel="0" collapsed="false">
      <c r="A13" s="24" t="s">
        <v>94</v>
      </c>
      <c r="B13" s="24" t="s">
        <v>280</v>
      </c>
      <c r="C13" s="66" t="s">
        <v>241</v>
      </c>
      <c r="D13" s="66" t="s">
        <v>93</v>
      </c>
      <c r="E13" s="73" t="s">
        <v>281</v>
      </c>
      <c r="F13" s="66" t="s">
        <v>161</v>
      </c>
      <c r="G13" s="68" t="n">
        <v>69300</v>
      </c>
      <c r="H13" s="68" t="n">
        <v>25</v>
      </c>
      <c r="I13" s="68" t="n">
        <v>8</v>
      </c>
      <c r="J13" s="69" t="s">
        <v>243</v>
      </c>
      <c r="K13" s="70" t="s">
        <v>282</v>
      </c>
      <c r="L13" s="68" t="s">
        <v>91</v>
      </c>
      <c r="M13" s="25" t="n">
        <v>7520</v>
      </c>
      <c r="N13" s="29" t="s">
        <v>245</v>
      </c>
      <c r="O13" s="26" t="s">
        <v>246</v>
      </c>
      <c r="P13" s="71" t="n">
        <f aca="false">$G13*$C$2*$M13</f>
        <v>2.1818922048</v>
      </c>
      <c r="Q13" s="71" t="n">
        <f aca="false">$H13*$C$2*$M13</f>
        <v>0.0007871184</v>
      </c>
      <c r="R13" s="71" t="n">
        <f aca="false">$I13*$C$2*$M13</f>
        <v>0.000251877888</v>
      </c>
      <c r="S13" s="24" t="n">
        <f aca="false">IFERROR(SUMIFS(GWP表!$D$4:$D$20,GWP表!$A$4:$A$20,$C$3,GWP表!$B$4:$B$20,$J13),0)</f>
        <v>28</v>
      </c>
      <c r="T13" s="24" t="n">
        <f aca="false">IFERROR(SUMIFS(GWP表!$D$4:$D$20,GWP表!$A$4:$A$20,$C$3,GWP表!$B$4:$B$20,"氧化亞氮"),0)</f>
        <v>265</v>
      </c>
      <c r="U13" s="72" t="n">
        <f aca="false">$P13+$Q13*$S13+$R13*$T13</f>
        <v>2.27067916032</v>
      </c>
      <c r="V13" s="67" t="s">
        <v>247</v>
      </c>
      <c r="W13" s="73" t="s">
        <v>283</v>
      </c>
    </row>
    <row r="14" customFormat="false" ht="45.75" hidden="false" customHeight="true" outlineLevel="0" collapsed="false">
      <c r="A14" s="24" t="s">
        <v>284</v>
      </c>
      <c r="B14" s="24" t="s">
        <v>285</v>
      </c>
      <c r="C14" s="66" t="s">
        <v>241</v>
      </c>
      <c r="D14" s="66" t="s">
        <v>93</v>
      </c>
      <c r="E14" s="73" t="s">
        <v>286</v>
      </c>
      <c r="F14" s="66" t="s">
        <v>161</v>
      </c>
      <c r="G14" s="68" t="n">
        <v>69300</v>
      </c>
      <c r="H14" s="68" t="n">
        <v>33</v>
      </c>
      <c r="I14" s="68" t="n">
        <v>3.2</v>
      </c>
      <c r="J14" s="69" t="s">
        <v>243</v>
      </c>
      <c r="K14" s="70" t="s">
        <v>287</v>
      </c>
      <c r="L14" s="68" t="s">
        <v>91</v>
      </c>
      <c r="M14" s="25" t="n">
        <v>7520</v>
      </c>
      <c r="N14" s="29" t="s">
        <v>245</v>
      </c>
      <c r="O14" s="26" t="s">
        <v>246</v>
      </c>
      <c r="P14" s="71" t="n">
        <f aca="false">$G14*$C$2*$M14</f>
        <v>2.1818922048</v>
      </c>
      <c r="Q14" s="71" t="n">
        <f aca="false">$H14*$C$2*$M14</f>
        <v>0.001038996288</v>
      </c>
      <c r="R14" s="71" t="n">
        <f aca="false">$I14*$C$2*$M14</f>
        <v>0.0001007511552</v>
      </c>
      <c r="S14" s="24" t="n">
        <f aca="false">IFERROR(SUMIFS(GWP表!$D$4:$D$20,GWP表!$A$4:$A$20,$C$3,GWP表!$B$4:$B$20,$J14),0)</f>
        <v>28</v>
      </c>
      <c r="T14" s="24" t="n">
        <f aca="false">IFERROR(SUMIFS(GWP表!$D$4:$D$20,GWP表!$A$4:$A$20,$C$3,GWP表!$B$4:$B$20,"氧化亞氮"),0)</f>
        <v>265</v>
      </c>
      <c r="U14" s="72" t="n">
        <f aca="false">$P14+$Q14*$S14+$R14*$T14</f>
        <v>2.237683156992</v>
      </c>
      <c r="V14" s="67" t="s">
        <v>247</v>
      </c>
      <c r="W14" s="73" t="s">
        <v>288</v>
      </c>
    </row>
    <row r="15" customFormat="false" ht="45.75" hidden="false" customHeight="true" outlineLevel="0" collapsed="false">
      <c r="A15" s="24" t="s">
        <v>289</v>
      </c>
      <c r="B15" s="24" t="s">
        <v>290</v>
      </c>
      <c r="C15" s="66" t="s">
        <v>241</v>
      </c>
      <c r="D15" s="66" t="s">
        <v>93</v>
      </c>
      <c r="E15" s="67" t="s">
        <v>291</v>
      </c>
      <c r="F15" s="66" t="s">
        <v>161</v>
      </c>
      <c r="G15" s="68" t="n">
        <v>69300</v>
      </c>
      <c r="H15" s="68" t="n">
        <v>3.8</v>
      </c>
      <c r="I15" s="68" t="n">
        <v>5.7</v>
      </c>
      <c r="J15" s="69" t="s">
        <v>243</v>
      </c>
      <c r="K15" s="70" t="s">
        <v>292</v>
      </c>
      <c r="L15" s="68" t="s">
        <v>91</v>
      </c>
      <c r="M15" s="25" t="n">
        <v>7520</v>
      </c>
      <c r="N15" s="29" t="s">
        <v>245</v>
      </c>
      <c r="O15" s="26" t="s">
        <v>246</v>
      </c>
      <c r="P15" s="71" t="n">
        <f aca="false">$G15*$C$2*$M15</f>
        <v>2.1818922048</v>
      </c>
      <c r="Q15" s="71" t="n">
        <f aca="false">$H15*$C$2*$M15</f>
        <v>0.0001196419968</v>
      </c>
      <c r="R15" s="71" t="n">
        <f aca="false">$I15*$C$2*$M15</f>
        <v>0.0001794629952</v>
      </c>
      <c r="S15" s="24" t="n">
        <f aca="false">IFERROR(SUMIFS(GWP表!$D$4:$D$20,GWP表!$A$4:$A$20,$C$3,GWP表!$B$4:$B$20,$J15),0)</f>
        <v>28</v>
      </c>
      <c r="T15" s="24" t="n">
        <f aca="false">IFERROR(SUMIFS(GWP表!$D$4:$D$20,GWP表!$A$4:$A$20,$C$3,GWP表!$B$4:$B$20,"氧化亞氮"),0)</f>
        <v>265</v>
      </c>
      <c r="U15" s="72" t="n">
        <f aca="false">$P15+$Q15*$S15+$R15*$T15</f>
        <v>2.2327998744384</v>
      </c>
      <c r="V15" s="67" t="s">
        <v>247</v>
      </c>
      <c r="W15" s="73" t="s">
        <v>293</v>
      </c>
    </row>
    <row r="16" customFormat="false" ht="45.75" hidden="false" customHeight="true" outlineLevel="0" collapsed="false">
      <c r="A16" s="24" t="s">
        <v>294</v>
      </c>
      <c r="B16" s="24" t="s">
        <v>295</v>
      </c>
      <c r="C16" s="66" t="s">
        <v>250</v>
      </c>
      <c r="D16" s="66" t="s">
        <v>93</v>
      </c>
      <c r="E16" s="67" t="s">
        <v>242</v>
      </c>
      <c r="F16" s="66" t="s">
        <v>161</v>
      </c>
      <c r="G16" s="68" t="n">
        <v>74100</v>
      </c>
      <c r="H16" s="68" t="n">
        <v>3.9</v>
      </c>
      <c r="I16" s="68" t="n">
        <v>3.9</v>
      </c>
      <c r="J16" s="69" t="s">
        <v>243</v>
      </c>
      <c r="K16" s="70" t="s">
        <v>296</v>
      </c>
      <c r="L16" s="68" t="s">
        <v>114</v>
      </c>
      <c r="M16" s="25" t="n">
        <v>8629</v>
      </c>
      <c r="N16" s="29" t="s">
        <v>245</v>
      </c>
      <c r="O16" s="26" t="s">
        <v>246</v>
      </c>
      <c r="P16" s="71" t="n">
        <f aca="false">$G16*$C$2*$M16</f>
        <v>2.67707718252</v>
      </c>
      <c r="Q16" s="71" t="n">
        <f aca="false">$H16*$C$2*$M16</f>
        <v>0.00014089879908</v>
      </c>
      <c r="R16" s="71" t="n">
        <f aca="false">$I16*$C$2*$M16</f>
        <v>0.00014089879908</v>
      </c>
      <c r="S16" s="24" t="n">
        <f aca="false">IFERROR(SUMIFS(GWP表!$D$4:$D$20,GWP表!$A$4:$A$20,$C$3,GWP表!$B$4:$B$20,$J16),0)</f>
        <v>28</v>
      </c>
      <c r="T16" s="24" t="n">
        <f aca="false">IFERROR(SUMIFS(GWP表!$D$4:$D$20,GWP表!$A$4:$A$20,$C$3,GWP表!$B$4:$B$20,"氧化亞氮"),0)</f>
        <v>265</v>
      </c>
      <c r="U16" s="72" t="n">
        <f aca="false">$P16+$Q16*$S16+$R16*$T16</f>
        <v>2.71836053065044</v>
      </c>
      <c r="V16" s="73" t="s">
        <v>252</v>
      </c>
      <c r="W16" s="73" t="s">
        <v>297</v>
      </c>
    </row>
    <row r="17" customFormat="false" ht="45.75" hidden="false" customHeight="true" outlineLevel="0" collapsed="false">
      <c r="A17" s="24" t="s">
        <v>298</v>
      </c>
      <c r="B17" s="24" t="s">
        <v>299</v>
      </c>
      <c r="C17" s="66" t="s">
        <v>255</v>
      </c>
      <c r="D17" s="66" t="s">
        <v>93</v>
      </c>
      <c r="E17" s="67" t="s">
        <v>242</v>
      </c>
      <c r="F17" s="66" t="s">
        <v>161</v>
      </c>
      <c r="G17" s="68" t="n">
        <v>63100</v>
      </c>
      <c r="H17" s="68" t="n">
        <v>62</v>
      </c>
      <c r="I17" s="68" t="n">
        <v>0.2</v>
      </c>
      <c r="J17" s="69" t="s">
        <v>243</v>
      </c>
      <c r="K17" s="70" t="s">
        <v>300</v>
      </c>
      <c r="L17" s="68" t="s">
        <v>257</v>
      </c>
      <c r="M17" s="25" t="n">
        <v>5958</v>
      </c>
      <c r="N17" s="29" t="s">
        <v>245</v>
      </c>
      <c r="O17" s="26" t="s">
        <v>246</v>
      </c>
      <c r="P17" s="71" t="n">
        <f aca="false">$G17*$C$2*$M17</f>
        <v>1.57402662264</v>
      </c>
      <c r="Q17" s="71" t="n">
        <f aca="false">$H17*$C$2*$M17</f>
        <v>0.0015465871728</v>
      </c>
      <c r="R17" s="71" t="n">
        <f aca="false">$I17*$C$2*$M17</f>
        <v>4.98899088E-006</v>
      </c>
      <c r="S17" s="24" t="n">
        <f aca="false">IFERROR(SUMIFS(GWP表!$D$4:$D$20,GWP表!$A$4:$A$20,$C$3,GWP表!$B$4:$B$20,$J17),0)</f>
        <v>28</v>
      </c>
      <c r="T17" s="24" t="n">
        <f aca="false">IFERROR(SUMIFS(GWP表!$D$4:$D$20,GWP表!$A$4:$A$20,$C$3,GWP表!$B$4:$B$20,"氧化亞氮"),0)</f>
        <v>265</v>
      </c>
      <c r="U17" s="72" t="n">
        <f aca="false">$P17+$Q17*$S17+$R17*$T17</f>
        <v>1.6186531460616</v>
      </c>
      <c r="V17" s="73" t="s">
        <v>301</v>
      </c>
      <c r="W17" s="67" t="s">
        <v>302</v>
      </c>
    </row>
    <row r="18" customFormat="false" ht="45.75" hidden="false" customHeight="true" outlineLevel="0" collapsed="false">
      <c r="A18" s="24" t="s">
        <v>303</v>
      </c>
      <c r="B18" s="24" t="s">
        <v>304</v>
      </c>
      <c r="C18" s="66" t="s">
        <v>305</v>
      </c>
      <c r="D18" s="66" t="s">
        <v>93</v>
      </c>
      <c r="E18" s="67" t="s">
        <v>242</v>
      </c>
      <c r="F18" s="66" t="s">
        <v>167</v>
      </c>
      <c r="G18" s="68" t="n">
        <v>56100</v>
      </c>
      <c r="H18" s="68" t="n">
        <v>92</v>
      </c>
      <c r="I18" s="68" t="n">
        <v>3</v>
      </c>
      <c r="J18" s="69" t="s">
        <v>243</v>
      </c>
      <c r="K18" s="70" t="s">
        <v>306</v>
      </c>
      <c r="L18" s="68" t="s">
        <v>106</v>
      </c>
      <c r="M18" s="25" t="n">
        <v>8107</v>
      </c>
      <c r="N18" s="29" t="s">
        <v>263</v>
      </c>
      <c r="O18" s="26" t="s">
        <v>264</v>
      </c>
      <c r="P18" s="71" t="n">
        <f aca="false">$G18*$C$2*$M18</f>
        <v>1.90416794436</v>
      </c>
      <c r="Q18" s="71" t="n">
        <f aca="false">$H18*$C$2*$M18</f>
        <v>0.0031226996592</v>
      </c>
      <c r="R18" s="71" t="n">
        <f aca="false">$I18*$C$2*$M18</f>
        <v>0.0001018271628</v>
      </c>
      <c r="S18" s="24" t="n">
        <f aca="false">IFERROR(SUMIFS(GWP表!$D$4:$D$20,GWP表!$A$4:$A$20,$C$3,GWP表!$B$4:$B$20,$J18),0)</f>
        <v>28</v>
      </c>
      <c r="T18" s="24" t="n">
        <f aca="false">IFERROR(SUMIFS(GWP表!$D$4:$D$20,GWP表!$A$4:$A$20,$C$3,GWP表!$B$4:$B$20,"氧化亞氮"),0)</f>
        <v>265</v>
      </c>
      <c r="U18" s="72" t="n">
        <f aca="false">$P18+$Q18*$S18+$R18*$T18</f>
        <v>2.0185877329596</v>
      </c>
      <c r="V18" s="73" t="s">
        <v>307</v>
      </c>
      <c r="W18" s="73" t="s">
        <v>266</v>
      </c>
    </row>
  </sheetData>
  <mergeCells count="7">
    <mergeCell ref="A1:V1"/>
    <mergeCell ref="A4:V4"/>
    <mergeCell ref="A5:F5"/>
    <mergeCell ref="G5:L5"/>
    <mergeCell ref="M5:O5"/>
    <mergeCell ref="P5:U5"/>
    <mergeCell ref="V5:W5"/>
  </mergeCells>
  <dataValidations count="1">
    <dataValidation allowBlank="true" errorStyle="stop" operator="between" showDropDown="false" showErrorMessage="false" showInputMessage="false" sqref="J7:J40" type="list">
      <formula1>"石化甲烷,甲烷"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5" width="16"/>
    <col collapsed="false" customWidth="true" hidden="false" outlineLevel="0" max="2" min="2" style="15" width="22"/>
    <col collapsed="false" customWidth="true" hidden="false" outlineLevel="0" max="3" min="3" style="15" width="11"/>
    <col collapsed="false" customWidth="true" hidden="false" outlineLevel="0" max="4" min="4" style="15" width="10"/>
    <col collapsed="false" customWidth="true" hidden="false" outlineLevel="0" max="5" min="5" style="15" width="12"/>
    <col collapsed="false" customWidth="true" hidden="false" outlineLevel="0" max="6" min="6" style="15" width="10"/>
    <col collapsed="false" customWidth="true" hidden="false" outlineLevel="0" max="7" min="7" style="15" width="30"/>
    <col collapsed="false" customWidth="true" hidden="false" outlineLevel="0" max="8" min="8" style="15" width="10"/>
    <col collapsed="false" customWidth="true" hidden="false" outlineLevel="0" max="9" min="9" style="15" width="44"/>
  </cols>
  <sheetData>
    <row r="1" customFormat="false" ht="17.25" hidden="false" customHeight="true" outlineLevel="0" collapsed="false">
      <c r="A1" s="74" t="s">
        <v>308</v>
      </c>
      <c r="B1" s="74"/>
      <c r="C1" s="74"/>
      <c r="D1" s="74"/>
      <c r="E1" s="74"/>
      <c r="F1" s="74"/>
      <c r="G1" s="74"/>
      <c r="H1" s="74"/>
    </row>
    <row r="2" customFormat="false" ht="15" hidden="false" customHeight="true" outlineLevel="0" collapsed="false">
      <c r="A2" s="75" t="s">
        <v>309</v>
      </c>
      <c r="B2" s="75"/>
      <c r="C2" s="75"/>
      <c r="D2" s="75"/>
      <c r="E2" s="75"/>
      <c r="F2" s="75"/>
      <c r="G2" s="75"/>
      <c r="H2" s="75"/>
    </row>
    <row r="3" customFormat="false" ht="15" hidden="false" customHeight="true" outlineLevel="0" collapsed="false">
      <c r="A3" s="76" t="s">
        <v>141</v>
      </c>
      <c r="B3" s="76" t="s">
        <v>310</v>
      </c>
      <c r="C3" s="76" t="s">
        <v>311</v>
      </c>
      <c r="D3" s="76" t="s">
        <v>222</v>
      </c>
      <c r="E3" s="76" t="s">
        <v>143</v>
      </c>
      <c r="F3" s="76" t="s">
        <v>312</v>
      </c>
      <c r="G3" s="76" t="s">
        <v>313</v>
      </c>
      <c r="H3" s="76" t="s">
        <v>314</v>
      </c>
      <c r="I3" s="76" t="s">
        <v>71</v>
      </c>
    </row>
    <row r="4" customFormat="false" ht="33.75" hidden="false" customHeight="true" outlineLevel="0" collapsed="false">
      <c r="A4" s="24" t="s">
        <v>83</v>
      </c>
      <c r="B4" s="66" t="s">
        <v>315</v>
      </c>
      <c r="C4" s="24" t="n">
        <v>0.474</v>
      </c>
      <c r="D4" s="66" t="s">
        <v>152</v>
      </c>
      <c r="E4" s="24" t="s">
        <v>316</v>
      </c>
      <c r="F4" s="66" t="s">
        <v>317</v>
      </c>
      <c r="G4" s="66" t="s">
        <v>318</v>
      </c>
      <c r="H4" s="24" t="n">
        <v>113</v>
      </c>
      <c r="I4" s="73" t="s">
        <v>319</v>
      </c>
    </row>
    <row r="5" customFormat="false" ht="33.75" hidden="false" customHeight="true" outlineLevel="0" collapsed="false">
      <c r="A5" s="24" t="s">
        <v>320</v>
      </c>
      <c r="B5" s="66" t="s">
        <v>321</v>
      </c>
      <c r="C5" s="77" t="n">
        <v>0.494</v>
      </c>
      <c r="D5" s="66" t="s">
        <v>152</v>
      </c>
      <c r="E5" s="24" t="s">
        <v>316</v>
      </c>
      <c r="F5" s="66" t="s">
        <v>317</v>
      </c>
      <c r="G5" s="66" t="s">
        <v>322</v>
      </c>
      <c r="H5" s="24" t="n">
        <v>112</v>
      </c>
      <c r="I5" s="73" t="s">
        <v>323</v>
      </c>
    </row>
    <row r="6" customFormat="false" ht="33.75" hidden="false" customHeight="true" outlineLevel="0" collapsed="false">
      <c r="A6" s="24" t="s">
        <v>324</v>
      </c>
      <c r="B6" s="66" t="s">
        <v>325</v>
      </c>
      <c r="C6" s="77"/>
      <c r="D6" s="66" t="s">
        <v>152</v>
      </c>
      <c r="E6" s="24" t="s">
        <v>316</v>
      </c>
      <c r="F6" s="66" t="s">
        <v>317</v>
      </c>
      <c r="G6" s="66" t="s">
        <v>326</v>
      </c>
      <c r="H6" s="24" t="n">
        <v>114</v>
      </c>
      <c r="I6" s="73" t="s">
        <v>327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5" width="10"/>
    <col collapsed="false" customWidth="true" hidden="false" outlineLevel="0" max="2" min="2" style="15" width="14"/>
    <col collapsed="false" customWidth="true" hidden="false" outlineLevel="0" max="4" min="3" style="15" width="10"/>
    <col collapsed="false" customWidth="true" hidden="false" outlineLevel="0" max="5" min="5" style="15" width="44"/>
    <col collapsed="false" customWidth="true" hidden="false" outlineLevel="0" max="6" min="6" style="15" width="26"/>
  </cols>
  <sheetData>
    <row r="1" customFormat="false" ht="21" hidden="false" customHeight="true" outlineLevel="0" collapsed="false">
      <c r="A1" s="74" t="s">
        <v>328</v>
      </c>
      <c r="B1" s="74"/>
      <c r="C1" s="74"/>
      <c r="D1" s="74"/>
      <c r="E1" s="74"/>
      <c r="F1" s="74"/>
    </row>
    <row r="2" customFormat="false" ht="13.5" hidden="false" customHeight="true" outlineLevel="0" collapsed="false">
      <c r="A2" s="78" t="s">
        <v>329</v>
      </c>
      <c r="B2" s="78"/>
      <c r="C2" s="78"/>
      <c r="D2" s="78"/>
      <c r="E2" s="78"/>
      <c r="F2" s="78"/>
    </row>
    <row r="3" customFormat="false" ht="15" hidden="false" customHeight="true" outlineLevel="0" collapsed="false">
      <c r="A3" s="79" t="s">
        <v>330</v>
      </c>
      <c r="B3" s="79" t="s">
        <v>331</v>
      </c>
      <c r="C3" s="79" t="s">
        <v>332</v>
      </c>
      <c r="D3" s="46" t="s">
        <v>333</v>
      </c>
      <c r="E3" s="79" t="s">
        <v>334</v>
      </c>
      <c r="F3" s="79" t="s">
        <v>335</v>
      </c>
    </row>
    <row r="4" customFormat="false" ht="27.75" hidden="false" customHeight="true" outlineLevel="0" collapsed="false">
      <c r="A4" s="24" t="s">
        <v>210</v>
      </c>
      <c r="B4" s="66" t="s">
        <v>336</v>
      </c>
      <c r="C4" s="24" t="s">
        <v>180</v>
      </c>
      <c r="D4" s="24" t="n">
        <v>1</v>
      </c>
      <c r="E4" s="73" t="s">
        <v>337</v>
      </c>
      <c r="F4" s="66" t="s">
        <v>338</v>
      </c>
    </row>
    <row r="5" customFormat="false" ht="27.75" hidden="false" customHeight="true" outlineLevel="0" collapsed="false">
      <c r="A5" s="24" t="s">
        <v>210</v>
      </c>
      <c r="B5" s="66" t="s">
        <v>243</v>
      </c>
      <c r="C5" s="24" t="s">
        <v>181</v>
      </c>
      <c r="D5" s="24" t="n">
        <v>28</v>
      </c>
      <c r="E5" s="73" t="s">
        <v>339</v>
      </c>
      <c r="F5" s="66" t="s">
        <v>340</v>
      </c>
    </row>
    <row r="6" customFormat="false" ht="27.75" hidden="false" customHeight="true" outlineLevel="0" collapsed="false">
      <c r="A6" s="80" t="s">
        <v>210</v>
      </c>
      <c r="B6" s="81" t="s">
        <v>341</v>
      </c>
      <c r="C6" s="80" t="s">
        <v>181</v>
      </c>
      <c r="D6" s="80" t="n">
        <v>30</v>
      </c>
      <c r="E6" s="82" t="s">
        <v>342</v>
      </c>
      <c r="F6" s="81" t="s">
        <v>340</v>
      </c>
    </row>
    <row r="7" customFormat="false" ht="27.75" hidden="false" customHeight="true" outlineLevel="0" collapsed="false">
      <c r="A7" s="24" t="s">
        <v>210</v>
      </c>
      <c r="B7" s="66" t="s">
        <v>343</v>
      </c>
      <c r="C7" s="24" t="s">
        <v>182</v>
      </c>
      <c r="D7" s="24" t="n">
        <v>265</v>
      </c>
      <c r="E7" s="6"/>
      <c r="F7" s="66" t="s">
        <v>338</v>
      </c>
    </row>
    <row r="9" customFormat="false" ht="13.5" hidden="false" customHeight="true" outlineLevel="0" collapsed="false">
      <c r="A9" s="83" t="s">
        <v>344</v>
      </c>
      <c r="B9" s="83"/>
      <c r="C9" s="83"/>
      <c r="D9" s="83"/>
      <c r="E9" s="83"/>
      <c r="F9" s="83"/>
    </row>
  </sheetData>
  <mergeCells count="3">
    <mergeCell ref="A1:F1"/>
    <mergeCell ref="A2:F2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4" min="4" style="0" width="13"/>
    <col collapsed="false" customWidth="true" hidden="false" outlineLevel="0" max="5" min="5" style="0" width="24"/>
    <col collapsed="false" customWidth="true" hidden="false" outlineLevel="0" max="7" min="7" style="0" width="13"/>
    <col collapsed="false" customWidth="true" hidden="false" outlineLevel="0" max="8" min="8" style="0" width="24"/>
    <col collapsed="false" customWidth="true" hidden="false" outlineLevel="0" max="11" min="11" style="0" width="14"/>
  </cols>
  <sheetData>
    <row r="1" customFormat="false" ht="15" hidden="false" customHeight="false" outlineLevel="0" collapsed="false">
      <c r="A1" s="84" t="s">
        <v>345</v>
      </c>
      <c r="B1" s="84"/>
      <c r="C1" s="84"/>
      <c r="D1" s="84"/>
      <c r="E1" s="84"/>
      <c r="F1" s="84"/>
      <c r="G1" s="84"/>
      <c r="H1" s="84"/>
    </row>
    <row r="2" customFormat="false" ht="15" hidden="false" customHeight="false" outlineLevel="0" collapsed="false">
      <c r="A2" s="84"/>
      <c r="B2" s="84"/>
      <c r="C2" s="84"/>
      <c r="D2" s="84"/>
      <c r="E2" s="84"/>
      <c r="F2" s="84"/>
      <c r="G2" s="84"/>
      <c r="H2" s="84"/>
    </row>
    <row r="4" customFormat="false" ht="15" hidden="false" customHeight="false" outlineLevel="0" collapsed="false">
      <c r="A4" s="85" t="s">
        <v>57</v>
      </c>
      <c r="B4" s="85"/>
      <c r="D4" s="85" t="s">
        <v>60</v>
      </c>
      <c r="E4" s="85"/>
      <c r="G4" s="85" t="s">
        <v>62</v>
      </c>
      <c r="H4" s="85"/>
      <c r="K4" s="86" t="s">
        <v>66</v>
      </c>
    </row>
    <row r="5" customFormat="false" ht="15" hidden="false" customHeight="false" outlineLevel="0" collapsed="false">
      <c r="A5" s="87" t="s">
        <v>75</v>
      </c>
      <c r="B5" s="4" t="s">
        <v>346</v>
      </c>
      <c r="D5" s="87" t="s">
        <v>347</v>
      </c>
      <c r="E5" s="4" t="s">
        <v>348</v>
      </c>
      <c r="G5" s="87" t="s">
        <v>91</v>
      </c>
      <c r="H5" s="4" t="s">
        <v>241</v>
      </c>
      <c r="K5" s="4" t="s">
        <v>107</v>
      </c>
    </row>
    <row r="6" customFormat="false" ht="15" hidden="false" customHeight="false" outlineLevel="0" collapsed="false">
      <c r="A6" s="87" t="s">
        <v>103</v>
      </c>
      <c r="B6" s="4" t="s">
        <v>349</v>
      </c>
      <c r="D6" s="87" t="s">
        <v>105</v>
      </c>
      <c r="E6" s="4" t="s">
        <v>350</v>
      </c>
      <c r="G6" s="87" t="s">
        <v>277</v>
      </c>
      <c r="H6" s="4" t="s">
        <v>279</v>
      </c>
      <c r="K6" s="4" t="s">
        <v>93</v>
      </c>
    </row>
    <row r="7" customFormat="false" ht="15" hidden="false" customHeight="false" outlineLevel="0" collapsed="false">
      <c r="A7" s="87" t="s">
        <v>88</v>
      </c>
      <c r="B7" s="4" t="s">
        <v>351</v>
      </c>
      <c r="D7" s="87" t="s">
        <v>352</v>
      </c>
      <c r="E7" s="4" t="s">
        <v>353</v>
      </c>
      <c r="G7" s="87" t="s">
        <v>114</v>
      </c>
      <c r="H7" s="4" t="s">
        <v>250</v>
      </c>
      <c r="K7" s="4" t="s">
        <v>354</v>
      </c>
    </row>
    <row r="8" customFormat="false" ht="15" hidden="false" customHeight="false" outlineLevel="0" collapsed="false">
      <c r="A8" s="87" t="s">
        <v>355</v>
      </c>
      <c r="B8" s="4" t="s">
        <v>356</v>
      </c>
      <c r="D8" s="87" t="s">
        <v>90</v>
      </c>
      <c r="E8" s="4" t="s">
        <v>357</v>
      </c>
      <c r="G8" s="87" t="s">
        <v>271</v>
      </c>
      <c r="H8" s="4" t="s">
        <v>269</v>
      </c>
      <c r="K8" s="4" t="s">
        <v>81</v>
      </c>
    </row>
    <row r="9" customFormat="false" ht="15" hidden="false" customHeight="false" outlineLevel="0" collapsed="false">
      <c r="A9" s="87" t="s">
        <v>358</v>
      </c>
      <c r="B9" s="4" t="s">
        <v>359</v>
      </c>
      <c r="D9" s="87" t="s">
        <v>360</v>
      </c>
      <c r="E9" s="4" t="s">
        <v>361</v>
      </c>
      <c r="G9" s="87" t="s">
        <v>257</v>
      </c>
      <c r="H9" s="4" t="s">
        <v>255</v>
      </c>
    </row>
    <row r="10" customFormat="false" ht="15" hidden="false" customHeight="false" outlineLevel="0" collapsed="false">
      <c r="A10" s="87" t="s">
        <v>362</v>
      </c>
      <c r="B10" s="4" t="s">
        <v>363</v>
      </c>
      <c r="D10" s="87" t="s">
        <v>113</v>
      </c>
      <c r="E10" s="4" t="s">
        <v>364</v>
      </c>
      <c r="G10" s="87" t="s">
        <v>106</v>
      </c>
      <c r="H10" s="4" t="s">
        <v>261</v>
      </c>
    </row>
    <row r="11" customFormat="false" ht="15" hidden="false" customHeight="false" outlineLevel="0" collapsed="false">
      <c r="D11" s="87" t="s">
        <v>365</v>
      </c>
      <c r="E11" s="4" t="s">
        <v>366</v>
      </c>
      <c r="G11" s="87" t="s">
        <v>78</v>
      </c>
      <c r="H11" s="4" t="s">
        <v>367</v>
      </c>
    </row>
    <row r="12" customFormat="false" ht="15" hidden="false" customHeight="false" outlineLevel="0" collapsed="false">
      <c r="D12" s="87" t="s">
        <v>368</v>
      </c>
      <c r="E12" s="4" t="s">
        <v>369</v>
      </c>
      <c r="G12" s="87" t="s">
        <v>370</v>
      </c>
      <c r="H12" s="87" t="s">
        <v>371</v>
      </c>
    </row>
    <row r="13" customFormat="false" ht="15" hidden="false" customHeight="false" outlineLevel="0" collapsed="false">
      <c r="D13" s="87" t="s">
        <v>77</v>
      </c>
      <c r="E13" s="4" t="s">
        <v>372</v>
      </c>
    </row>
  </sheetData>
  <mergeCells count="4">
    <mergeCell ref="A1:H2"/>
    <mergeCell ref="A4:B4"/>
    <mergeCell ref="D4:E4"/>
    <mergeCell ref="G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5" width="7"/>
    <col collapsed="false" customWidth="true" hidden="false" outlineLevel="0" max="2" min="2" style="15" width="26"/>
    <col collapsed="false" customWidth="true" hidden="false" outlineLevel="0" max="3" min="3" style="15" width="10"/>
    <col collapsed="false" customWidth="true" hidden="false" outlineLevel="0" max="4" min="4" style="15" width="11"/>
    <col collapsed="false" customWidth="true" hidden="false" outlineLevel="0" max="5" min="5" style="15" width="19"/>
    <col collapsed="false" customWidth="true" hidden="false" outlineLevel="0" max="6" min="6" style="15" width="16"/>
    <col collapsed="false" customWidth="true" hidden="false" outlineLevel="0" max="8" min="7" style="15" width="10"/>
    <col collapsed="false" customWidth="true" hidden="false" outlineLevel="0" max="11" min="9" style="15" width="12"/>
    <col collapsed="false" customWidth="true" hidden="false" outlineLevel="0" max="12" min="12" style="15" width="13"/>
    <col collapsed="false" customWidth="true" hidden="false" outlineLevel="0" max="15" min="13" style="15" width="11"/>
    <col collapsed="false" customWidth="true" hidden="false" outlineLevel="0" max="17" min="16" style="15" width="13"/>
  </cols>
  <sheetData>
    <row r="1" customFormat="false" ht="17.25" hidden="false" customHeight="true" outlineLevel="0" collapsed="false">
      <c r="A1" s="74" t="s">
        <v>373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</row>
    <row r="2" customFormat="false" ht="15" hidden="false" customHeight="true" outlineLevel="0" collapsed="false">
      <c r="A2" s="83" t="s">
        <v>374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</row>
    <row r="3" customFormat="false" ht="31.5" hidden="false" customHeight="true" outlineLevel="0" collapsed="false">
      <c r="A3" s="23" t="s">
        <v>375</v>
      </c>
      <c r="B3" s="23" t="s">
        <v>376</v>
      </c>
      <c r="C3" s="23" t="s">
        <v>377</v>
      </c>
      <c r="D3" s="23" t="s">
        <v>134</v>
      </c>
      <c r="E3" s="23" t="s">
        <v>141</v>
      </c>
      <c r="F3" s="23" t="s">
        <v>142</v>
      </c>
      <c r="G3" s="23" t="s">
        <v>143</v>
      </c>
      <c r="H3" s="23" t="s">
        <v>144</v>
      </c>
      <c r="I3" s="65" t="s">
        <v>378</v>
      </c>
      <c r="J3" s="65" t="s">
        <v>379</v>
      </c>
      <c r="K3" s="65" t="s">
        <v>380</v>
      </c>
      <c r="L3" s="23" t="s">
        <v>145</v>
      </c>
      <c r="M3" s="65" t="s">
        <v>381</v>
      </c>
      <c r="N3" s="65" t="s">
        <v>382</v>
      </c>
      <c r="O3" s="65" t="s">
        <v>383</v>
      </c>
      <c r="P3" s="23" t="s">
        <v>384</v>
      </c>
      <c r="Q3" s="23" t="s">
        <v>385</v>
      </c>
    </row>
    <row r="4" customFormat="false" ht="15" hidden="false" customHeight="true" outlineLevel="0" collapsed="false">
      <c r="A4" s="88" t="s">
        <v>386</v>
      </c>
      <c r="B4" s="89" t="s">
        <v>387</v>
      </c>
      <c r="C4" s="90" t="n">
        <v>4820</v>
      </c>
      <c r="D4" s="91" t="s">
        <v>152</v>
      </c>
      <c r="E4" s="90" t="s">
        <v>83</v>
      </c>
      <c r="F4" s="89" t="str">
        <f aca="false">IFERROR(INDEX(燃料係數計算!$C$7:$C$40,MATCH($E4,燃料係數計算!$A$7:$A$40,0)),IFERROR(INDEX(電力係數!$B$4:$B$20,MATCH($E4,電力係數!$A$4:$A$20,0)),""))</f>
        <v>台灣電力(113年度)</v>
      </c>
      <c r="G4" s="89" t="str">
        <f aca="false">IFERROR(INDEX(燃料係數計算!$F$7:$F$40,MATCH($E4,燃料係數計算!$A$7:$A$40,0)),IFERROR(INDEX(電力係數!$D$4:$D$20,MATCH($E4,電力係數!$A$4:$A$20,0)),""))</f>
        <v>度</v>
      </c>
      <c r="H4" s="89" t="str">
        <f aca="false">IF($D4="","",IF($D4=$G4,"OK","單位不符"))</f>
        <v>OK</v>
      </c>
      <c r="I4" s="92" t="str">
        <f aca="false">IFERROR(INDEX(燃料係數計算!$P$7:$P$40,MATCH($E4,燃料係數計算!$A$7:$A$40,0)),"")</f>
        <v/>
      </c>
      <c r="J4" s="92" t="str">
        <f aca="false">IFERROR(INDEX(燃料係數計算!$Q$7:$Q$40,MATCH($E4,燃料係數計算!$A$7:$A$40,0)),"")</f>
        <v/>
      </c>
      <c r="K4" s="92" t="str">
        <f aca="false">IFERROR(INDEX(燃料係數計算!$R$7:$R$40,MATCH($E4,燃料係數計算!$A$7:$A$40,0)),"")</f>
        <v/>
      </c>
      <c r="L4" s="93" t="n">
        <f aca="false">IFERROR(INDEX(燃料係數計算!$U$7:$U$40,MATCH($E4,燃料係數計算!$A$7:$A$40,0)),IFERROR(INDEX(電力係數!$C$4:$C$20,MATCH($E4,電力係數!$A$4:$A$20,0)),""))</f>
        <v>0.474</v>
      </c>
      <c r="M4" s="94" t="str">
        <f aca="false">IF($I4="","",IFERROR($C4*$I4,""))</f>
        <v/>
      </c>
      <c r="N4" s="94" t="str">
        <f aca="false">IF($J4="","",IFERROR($C4*$J4*INDEX(燃料係數計算!$S$7:$S$40,MATCH($E4,燃料係數計算!$A$7:$A$40,0)),""))</f>
        <v/>
      </c>
      <c r="O4" s="94" t="str">
        <f aca="false">IF($K4="","",IFERROR($C4*$K4*INDEX(燃料係數計算!$T$7:$T$40,MATCH($E4,燃料係數計算!$A$7:$A$40,0)),""))</f>
        <v/>
      </c>
      <c r="P4" s="95" t="n">
        <f aca="false">IFERROR($C4*$L4,"")</f>
        <v>2284.68</v>
      </c>
      <c r="Q4" s="96" t="n">
        <f aca="false">IFERROR($P4/1000,"")</f>
        <v>2.28468</v>
      </c>
    </row>
    <row r="5" customFormat="false" ht="15" hidden="false" customHeight="true" outlineLevel="0" collapsed="false">
      <c r="A5" s="88" t="s">
        <v>388</v>
      </c>
      <c r="B5" s="88" t="s">
        <v>389</v>
      </c>
      <c r="C5" s="91" t="n">
        <v>45.2</v>
      </c>
      <c r="D5" s="91" t="s">
        <v>161</v>
      </c>
      <c r="E5" s="90" t="s">
        <v>94</v>
      </c>
      <c r="F5" s="89" t="str">
        <f aca="false">IFERROR(INDEX(燃料係數計算!$C$7:$C$40,MATCH($E5,燃料係數計算!$A$7:$A$40,0)),IFERROR(INDEX(電力係數!$B$4:$B$20,MATCH($E5,電力係數!$A$4:$A$20,0)),""))</f>
        <v>車用汽油</v>
      </c>
      <c r="G5" s="89" t="str">
        <f aca="false">IFERROR(INDEX(燃料係數計算!$F$7:$F$40,MATCH($E5,燃料係數計算!$A$7:$A$40,0)),IFERROR(INDEX(電力係數!$D$4:$D$20,MATCH($E5,電力係數!$A$4:$A$20,0)),""))</f>
        <v>公升</v>
      </c>
      <c r="H5" s="89" t="str">
        <f aca="false">IF($D5="","",IF($D5=$G5,"OK","單位不符"))</f>
        <v>OK</v>
      </c>
      <c r="I5" s="92" t="n">
        <f aca="false">IFERROR(INDEX(燃料係數計算!$P$7:$P$40,MATCH($E5,燃料係數計算!$A$7:$A$40,0)),"")</f>
        <v>2.1818922048</v>
      </c>
      <c r="J5" s="92" t="n">
        <f aca="false">IFERROR(INDEX(燃料係數計算!$Q$7:$Q$40,MATCH($E5,燃料係數計算!$A$7:$A$40,0)),"")</f>
        <v>0.0007871184</v>
      </c>
      <c r="K5" s="92" t="n">
        <f aca="false">IFERROR(INDEX(燃料係數計算!$R$7:$R$40,MATCH($E5,燃料係數計算!$A$7:$A$40,0)),"")</f>
        <v>0.000251877888</v>
      </c>
      <c r="L5" s="93" t="n">
        <f aca="false">IFERROR(INDEX(燃料係數計算!$U$7:$U$40,MATCH($E5,燃料係數計算!$A$7:$A$40,0)),IFERROR(INDEX(電力係數!$C$4:$C$20,MATCH($E5,電力係數!$A$4:$A$20,0)),""))</f>
        <v>2.27067916032</v>
      </c>
      <c r="M5" s="94" t="n">
        <f aca="false">IF($I5="","",IFERROR($C5*$I5,""))</f>
        <v>98.62152765696</v>
      </c>
      <c r="N5" s="94" t="n">
        <f aca="false">IF($J5="","",IFERROR($C5*$J5*INDEX(燃料係數計算!$S$7:$S$40,MATCH($E5,燃料係數計算!$A$7:$A$40,0)),""))</f>
        <v>0.99617704704</v>
      </c>
      <c r="O5" s="94" t="n">
        <f aca="false">IF($K5="","",IFERROR($C5*$K5*INDEX(燃料係數計算!$T$7:$T$40,MATCH($E5,燃料係數計算!$A$7:$A$40,0)),""))</f>
        <v>3.016993342464</v>
      </c>
      <c r="P5" s="95" t="n">
        <f aca="false">IFERROR($C5*$L5,"")</f>
        <v>102.634698046464</v>
      </c>
      <c r="Q5" s="96" t="n">
        <f aca="false">IFERROR($P5/1000,"")</f>
        <v>0.102634698046464</v>
      </c>
    </row>
    <row r="6" customFormat="false" ht="15" hidden="false" customHeight="true" outlineLevel="0" collapsed="false">
      <c r="A6" s="88" t="s">
        <v>390</v>
      </c>
      <c r="B6" s="88" t="s">
        <v>391</v>
      </c>
      <c r="C6" s="91" t="n">
        <v>45.2</v>
      </c>
      <c r="D6" s="91" t="s">
        <v>161</v>
      </c>
      <c r="E6" s="90" t="s">
        <v>284</v>
      </c>
      <c r="F6" s="89" t="str">
        <f aca="false">IFERROR(INDEX(燃料係數計算!$C$7:$C$40,MATCH($E6,燃料係數計算!$A$7:$A$40,0)),IFERROR(INDEX(電力係數!$B$4:$B$20,MATCH($E6,電力係數!$A$4:$A$20,0)),""))</f>
        <v>車用汽油</v>
      </c>
      <c r="G6" s="89" t="str">
        <f aca="false">IFERROR(INDEX(燃料係數計算!$F$7:$F$40,MATCH($E6,燃料係數計算!$A$7:$A$40,0)),IFERROR(INDEX(電力係數!$D$4:$D$20,MATCH($E6,電力係數!$A$4:$A$20,0)),""))</f>
        <v>公升</v>
      </c>
      <c r="H6" s="89" t="str">
        <f aca="false">IF($D6="","",IF($D6=$G6,"OK","單位不符"))</f>
        <v>OK</v>
      </c>
      <c r="I6" s="92" t="n">
        <f aca="false">IFERROR(INDEX(燃料係數計算!$P$7:$P$40,MATCH($E6,燃料係數計算!$A$7:$A$40,0)),"")</f>
        <v>2.1818922048</v>
      </c>
      <c r="J6" s="92" t="n">
        <f aca="false">IFERROR(INDEX(燃料係數計算!$Q$7:$Q$40,MATCH($E6,燃料係數計算!$A$7:$A$40,0)),"")</f>
        <v>0.001038996288</v>
      </c>
      <c r="K6" s="92" t="n">
        <f aca="false">IFERROR(INDEX(燃料係數計算!$R$7:$R$40,MATCH($E6,燃料係數計算!$A$7:$A$40,0)),"")</f>
        <v>0.0001007511552</v>
      </c>
      <c r="L6" s="93" t="n">
        <f aca="false">IFERROR(INDEX(燃料係數計算!$U$7:$U$40,MATCH($E6,燃料係數計算!$A$7:$A$40,0)),IFERROR(INDEX(電力係數!$C$4:$C$20,MATCH($E6,電力係數!$A$4:$A$20,0)),""))</f>
        <v>2.237683156992</v>
      </c>
      <c r="M6" s="94" t="n">
        <f aca="false">IF($I6="","",IFERROR($C6*$I6,""))</f>
        <v>98.62152765696</v>
      </c>
      <c r="N6" s="94" t="n">
        <f aca="false">IF($J6="","",IFERROR($C6*$J6*INDEX(燃料係數計算!$S$7:$S$40,MATCH($E6,燃料係數計算!$A$7:$A$40,0)),""))</f>
        <v>1.3149537020928</v>
      </c>
      <c r="O6" s="94" t="n">
        <f aca="false">IF($K6="","",IFERROR($C6*$K6*INDEX(燃料係數計算!$T$7:$T$40,MATCH($E6,燃料係數計算!$A$7:$A$40,0)),""))</f>
        <v>1.2067973369856</v>
      </c>
      <c r="P6" s="95" t="n">
        <f aca="false">IFERROR($C6*$L6,"")</f>
        <v>101.143278696038</v>
      </c>
      <c r="Q6" s="96" t="n">
        <f aca="false">IFERROR($P6/1000,"")</f>
        <v>0.101143278696038</v>
      </c>
    </row>
    <row r="7" customFormat="false" ht="15" hidden="false" customHeight="true" outlineLevel="0" collapsed="false">
      <c r="A7" s="88" t="s">
        <v>392</v>
      </c>
      <c r="B7" s="88" t="s">
        <v>393</v>
      </c>
      <c r="C7" s="91" t="n">
        <v>310</v>
      </c>
      <c r="D7" s="91" t="s">
        <v>167</v>
      </c>
      <c r="E7" s="90" t="s">
        <v>108</v>
      </c>
      <c r="F7" s="89" t="str">
        <f aca="false">IFERROR(INDEX(燃料係數計算!$C$7:$C$40,MATCH($E7,燃料係數計算!$A$7:$A$40,0)),IFERROR(INDEX(電力係數!$B$4:$B$20,MATCH($E7,電力係數!$A$4:$A$20,0)),""))</f>
        <v>天然氣</v>
      </c>
      <c r="G7" s="89" t="str">
        <f aca="false">IFERROR(INDEX(燃料係數計算!$F$7:$F$40,MATCH($E7,燃料係數計算!$A$7:$A$40,0)),IFERROR(INDEX(電力係數!$D$4:$D$20,MATCH($E7,電力係數!$A$4:$A$20,0)),""))</f>
        <v>立方公尺</v>
      </c>
      <c r="H7" s="89" t="str">
        <f aca="false">IF($D7="","",IF($D7=$G7,"OK","單位不符"))</f>
        <v>OK</v>
      </c>
      <c r="I7" s="92" t="n">
        <f aca="false">IFERROR(INDEX(燃料係數計算!$P$7:$P$40,MATCH($E7,燃料係數計算!$A$7:$A$40,0)),"")</f>
        <v>1.90416794436</v>
      </c>
      <c r="J7" s="92" t="n">
        <f aca="false">IFERROR(INDEX(燃料係數計算!$Q$7:$Q$40,MATCH($E7,燃料係數計算!$A$7:$A$40,0)),"")</f>
        <v>3.39423876E-005</v>
      </c>
      <c r="K7" s="92" t="n">
        <f aca="false">IFERROR(INDEX(燃料係數計算!$R$7:$R$40,MATCH($E7,燃料係數計算!$A$7:$A$40,0)),"")</f>
        <v>3.39423876E-006</v>
      </c>
      <c r="L7" s="93" t="n">
        <f aca="false">IFERROR(INDEX(燃料係數計算!$U$7:$U$40,MATCH($E7,燃料係數計算!$A$7:$A$40,0)),IFERROR(INDEX(電力係數!$C$4:$C$20,MATCH($E7,電力係數!$A$4:$A$20,0)),""))</f>
        <v>1.9060178044842</v>
      </c>
      <c r="M7" s="94" t="n">
        <f aca="false">IF($I7="","",IFERROR($C7*$I7,""))</f>
        <v>590.2920627516</v>
      </c>
      <c r="N7" s="94" t="n">
        <f aca="false">IF($J7="","",IFERROR($C7*$J7*INDEX(燃料係數計算!$S$7:$S$40,MATCH($E7,燃料係數計算!$A$7:$A$40,0)),""))</f>
        <v>0.294619924368</v>
      </c>
      <c r="O7" s="94" t="n">
        <f aca="false">IF($K7="","",IFERROR($C7*$K7*INDEX(燃料係數計算!$T$7:$T$40,MATCH($E7,燃料係數計算!$A$7:$A$40,0)),""))</f>
        <v>0.278836714134</v>
      </c>
      <c r="P7" s="95" t="n">
        <f aca="false">IFERROR($C7*$L7,"")</f>
        <v>590.865519390102</v>
      </c>
      <c r="Q7" s="96" t="n">
        <f aca="false">IFERROR($P7/1000,"")</f>
        <v>0.590865519390102</v>
      </c>
    </row>
    <row r="8" customFormat="false" ht="15" hidden="false" customHeight="true" outlineLevel="0" collapsed="false">
      <c r="A8" s="88" t="s">
        <v>394</v>
      </c>
      <c r="B8" s="88" t="s">
        <v>395</v>
      </c>
      <c r="C8" s="91" t="n">
        <v>200</v>
      </c>
      <c r="D8" s="91" t="s">
        <v>161</v>
      </c>
      <c r="E8" s="90" t="s">
        <v>253</v>
      </c>
      <c r="F8" s="89" t="str">
        <f aca="false">IFERROR(INDEX(燃料係數計算!$C$7:$C$40,MATCH($E8,燃料係數計算!$A$7:$A$40,0)),IFERROR(INDEX(電力係數!$B$4:$B$20,MATCH($E8,電力係數!$A$4:$A$20,0)),""))</f>
        <v>液化石油氣</v>
      </c>
      <c r="G8" s="89" t="str">
        <f aca="false">IFERROR(INDEX(燃料係數計算!$F$7:$F$40,MATCH($E8,燃料係數計算!$A$7:$A$40,0)),IFERROR(INDEX(電力係數!$D$4:$D$20,MATCH($E8,電力係數!$A$4:$A$20,0)),""))</f>
        <v>公升</v>
      </c>
      <c r="H8" s="89" t="str">
        <f aca="false">IF($D8="","",IF($D8=$G8,"OK","單位不符"))</f>
        <v>OK</v>
      </c>
      <c r="I8" s="92" t="n">
        <f aca="false">IFERROR(INDEX(燃料係數計算!$P$7:$P$40,MATCH($E8,燃料係數計算!$A$7:$A$40,0)),"")</f>
        <v>1.57402662264</v>
      </c>
      <c r="J8" s="92" t="n">
        <f aca="false">IFERROR(INDEX(燃料係數計算!$Q$7:$Q$40,MATCH($E8,燃料係數計算!$A$7:$A$40,0)),"")</f>
        <v>2.49449544E-005</v>
      </c>
      <c r="K8" s="92" t="n">
        <f aca="false">IFERROR(INDEX(燃料係數計算!$R$7:$R$40,MATCH($E8,燃料係數計算!$A$7:$A$40,0)),"")</f>
        <v>2.49449544E-006</v>
      </c>
      <c r="L8" s="93" t="n">
        <f aca="false">IFERROR(INDEX(燃料係數計算!$U$7:$U$40,MATCH($E8,燃料係數計算!$A$7:$A$40,0)),IFERROR(INDEX(電力係數!$C$4:$C$20,MATCH($E8,電力係數!$A$4:$A$20,0)),""))</f>
        <v>1.5753861226548</v>
      </c>
      <c r="M8" s="94" t="n">
        <f aca="false">IF($I8="","",IFERROR($C8*$I8,""))</f>
        <v>314.805324528</v>
      </c>
      <c r="N8" s="94" t="n">
        <f aca="false">IF($J8="","",IFERROR($C8*$J8*INDEX(燃料係數計算!$S$7:$S$40,MATCH($E8,燃料係數計算!$A$7:$A$40,0)),""))</f>
        <v>0.13969174464</v>
      </c>
      <c r="O8" s="94" t="n">
        <f aca="false">IF($K8="","",IFERROR($C8*$K8*INDEX(燃料係數計算!$T$7:$T$40,MATCH($E8,燃料係數計算!$A$7:$A$40,0)),""))</f>
        <v>0.13220825832</v>
      </c>
      <c r="P8" s="95" t="n">
        <f aca="false">IFERROR($C8*$L8,"")</f>
        <v>315.07722453096</v>
      </c>
      <c r="Q8" s="96" t="n">
        <f aca="false">IFERROR($P8/1000,"")</f>
        <v>0.31507722453096</v>
      </c>
    </row>
    <row r="9" customFormat="false" ht="15" hidden="false" customHeight="true" outlineLevel="0" collapsed="false">
      <c r="A9" s="88" t="s">
        <v>396</v>
      </c>
      <c r="B9" s="88" t="s">
        <v>397</v>
      </c>
      <c r="C9" s="91"/>
      <c r="D9" s="91"/>
      <c r="E9" s="91"/>
      <c r="F9" s="89" t="str">
        <f aca="false">IFERROR(INDEX(燃料係數計算!$C$7:$C$40,MATCH($E9,燃料係數計算!$A$7:$A$40,0)),IFERROR(INDEX(電力係數!$B$4:$B$20,MATCH($E9,電力係數!$A$4:$A$20,0)),""))</f>
        <v/>
      </c>
      <c r="G9" s="89" t="str">
        <f aca="false">IFERROR(INDEX(燃料係數計算!$F$7:$F$40,MATCH($E9,燃料係數計算!$A$7:$A$40,0)),IFERROR(INDEX(電力係數!$D$4:$D$20,MATCH($E9,電力係數!$A$4:$A$20,0)),""))</f>
        <v/>
      </c>
      <c r="H9" s="89" t="str">
        <f aca="false">IF($D9="","",IF($D9=$G9,"OK","單位不符"))</f>
        <v/>
      </c>
      <c r="I9" s="92" t="str">
        <f aca="false">IFERROR(INDEX(燃料係數計算!$P$7:$P$40,MATCH($E9,燃料係數計算!$A$7:$A$40,0)),"")</f>
        <v/>
      </c>
      <c r="J9" s="92" t="str">
        <f aca="false">IFERROR(INDEX(燃料係數計算!$Q$7:$Q$40,MATCH($E9,燃料係數計算!$A$7:$A$40,0)),"")</f>
        <v/>
      </c>
      <c r="K9" s="92" t="str">
        <f aca="false">IFERROR(INDEX(燃料係數計算!$R$7:$R$40,MATCH($E9,燃料係數計算!$A$7:$A$40,0)),"")</f>
        <v/>
      </c>
      <c r="L9" s="93" t="str">
        <f aca="false">IFERROR(INDEX(燃料係數計算!$U$7:$U$40,MATCH($E9,燃料係數計算!$A$7:$A$40,0)),IFERROR(INDEX(電力係數!$C$4:$C$20,MATCH($E9,電力係數!$A$4:$A$20,0)),""))</f>
        <v/>
      </c>
      <c r="M9" s="94" t="str">
        <f aca="false">IF($I9="","",IFERROR($C9*$I9,""))</f>
        <v/>
      </c>
      <c r="N9" s="94" t="str">
        <f aca="false">IF($J9="","",IFERROR($C9*$J9*INDEX(燃料係數計算!$S$7:$S$40,MATCH($E9,燃料係數計算!$A$7:$A$40,0)),""))</f>
        <v/>
      </c>
      <c r="O9" s="94" t="str">
        <f aca="false">IF($K9="","",IFERROR($C9*$K9*INDEX(燃料係數計算!$T$7:$T$40,MATCH($E9,燃料係數計算!$A$7:$A$40,0)),""))</f>
        <v/>
      </c>
      <c r="P9" s="95" t="str">
        <f aca="false">IFERROR($C9*$L9,"")</f>
        <v/>
      </c>
      <c r="Q9" s="96" t="str">
        <f aca="false">IFERROR($P9/1000,"")</f>
        <v/>
      </c>
    </row>
    <row r="11" customFormat="false" ht="15" hidden="false" customHeight="true" outlineLevel="0" collapsed="false">
      <c r="B11" s="39" t="s">
        <v>171</v>
      </c>
      <c r="P11" s="37" t="n">
        <f aca="false">SUM(P4:P9)</f>
        <v>3394.40072066356</v>
      </c>
      <c r="Q11" s="38" t="n">
        <f aca="false">SUM(Q4:Q9)</f>
        <v>3.39440072066356</v>
      </c>
    </row>
    <row r="13" customFormat="false" ht="15" hidden="false" customHeight="true" outlineLevel="0" collapsed="false">
      <c r="B13" s="43" t="s">
        <v>398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5" width="22"/>
    <col collapsed="false" customWidth="true" hidden="false" outlineLevel="0" max="2" min="2" style="15" width="100"/>
  </cols>
  <sheetData>
    <row r="1" customFormat="false" ht="17.25" hidden="false" customHeight="true" outlineLevel="0" collapsed="false">
      <c r="A1" s="97" t="s">
        <v>399</v>
      </c>
    </row>
    <row r="3" customFormat="false" ht="19.5" hidden="false" customHeight="true" outlineLevel="0" collapsed="false">
      <c r="A3" s="98" t="s">
        <v>400</v>
      </c>
      <c r="B3" s="99"/>
    </row>
    <row r="4" customFormat="false" ht="39.75" hidden="false" customHeight="true" outlineLevel="0" collapsed="false">
      <c r="A4" s="100" t="s">
        <v>401</v>
      </c>
      <c r="B4" s="100" t="s">
        <v>402</v>
      </c>
    </row>
    <row r="5" customFormat="false" ht="19.5" hidden="false" customHeight="true" outlineLevel="0" collapsed="false">
      <c r="A5" s="99" t="s">
        <v>403</v>
      </c>
      <c r="B5" s="100" t="s">
        <v>404</v>
      </c>
    </row>
    <row r="6" customFormat="false" ht="19.5" hidden="false" customHeight="true" outlineLevel="0" collapsed="false">
      <c r="A6" s="100" t="s">
        <v>405</v>
      </c>
      <c r="B6" s="100" t="s">
        <v>406</v>
      </c>
    </row>
    <row r="7" customFormat="false" ht="19.5" hidden="false" customHeight="true" outlineLevel="0" collapsed="false">
      <c r="A7" s="100" t="s">
        <v>407</v>
      </c>
      <c r="B7" s="100" t="s">
        <v>408</v>
      </c>
    </row>
    <row r="8" customFormat="false" ht="19.5" hidden="false" customHeight="true" outlineLevel="0" collapsed="false">
      <c r="A8" s="99"/>
      <c r="B8" s="99"/>
    </row>
    <row r="9" customFormat="false" ht="19.5" hidden="false" customHeight="true" outlineLevel="0" collapsed="false">
      <c r="A9" s="98" t="s">
        <v>409</v>
      </c>
      <c r="B9" s="100" t="s">
        <v>410</v>
      </c>
    </row>
    <row r="10" customFormat="false" ht="39.75" hidden="false" customHeight="true" outlineLevel="0" collapsed="false">
      <c r="A10" s="99" t="s">
        <v>411</v>
      </c>
      <c r="B10" s="100" t="s">
        <v>412</v>
      </c>
    </row>
    <row r="11" customFormat="false" ht="39.75" hidden="false" customHeight="true" outlineLevel="0" collapsed="false">
      <c r="A11" s="101" t="s">
        <v>413</v>
      </c>
      <c r="B11" s="102" t="s">
        <v>414</v>
      </c>
    </row>
    <row r="12" customFormat="false" ht="19.5" hidden="false" customHeight="true" outlineLevel="0" collapsed="false">
      <c r="A12" s="99" t="s">
        <v>415</v>
      </c>
      <c r="B12" s="100" t="s">
        <v>416</v>
      </c>
    </row>
    <row r="13" customFormat="false" ht="39.75" hidden="false" customHeight="true" outlineLevel="0" collapsed="false">
      <c r="A13" s="99" t="s">
        <v>417</v>
      </c>
      <c r="B13" s="100" t="s">
        <v>418</v>
      </c>
    </row>
    <row r="14" customFormat="false" ht="19.5" hidden="false" customHeight="true" outlineLevel="0" collapsed="false">
      <c r="A14" s="99" t="s">
        <v>419</v>
      </c>
      <c r="B14" s="99" t="s">
        <v>420</v>
      </c>
    </row>
    <row r="15" customFormat="false" ht="19.5" hidden="false" customHeight="true" outlineLevel="0" collapsed="false">
      <c r="A15" s="99" t="s">
        <v>421</v>
      </c>
      <c r="B15" s="100" t="s">
        <v>422</v>
      </c>
    </row>
    <row r="16" customFormat="false" ht="19.5" hidden="false" customHeight="true" outlineLevel="0" collapsed="false">
      <c r="A16" s="99" t="s">
        <v>423</v>
      </c>
      <c r="B16" s="100" t="s">
        <v>424</v>
      </c>
    </row>
    <row r="17" customFormat="false" ht="39.75" hidden="false" customHeight="true" outlineLevel="0" collapsed="false">
      <c r="A17" s="99" t="s">
        <v>425</v>
      </c>
      <c r="B17" s="100" t="s">
        <v>426</v>
      </c>
    </row>
    <row r="18" customFormat="false" ht="19.5" hidden="false" customHeight="true" outlineLevel="0" collapsed="false">
      <c r="A18" s="99" t="s">
        <v>427</v>
      </c>
      <c r="B18" s="99" t="s">
        <v>428</v>
      </c>
    </row>
    <row r="19" customFormat="false" ht="19.5" hidden="false" customHeight="true" outlineLevel="0" collapsed="false">
      <c r="A19" s="99"/>
      <c r="B19" s="99"/>
    </row>
    <row r="20" customFormat="false" ht="19.5" hidden="false" customHeight="true" outlineLevel="0" collapsed="false">
      <c r="A20" s="98" t="s">
        <v>429</v>
      </c>
      <c r="B20" s="99"/>
    </row>
    <row r="21" customFormat="false" ht="39.75" hidden="false" customHeight="true" outlineLevel="0" collapsed="false">
      <c r="A21" s="100" t="s">
        <v>430</v>
      </c>
      <c r="B21" s="99" t="s">
        <v>431</v>
      </c>
    </row>
    <row r="22" customFormat="false" ht="19.5" hidden="false" customHeight="true" outlineLevel="0" collapsed="false">
      <c r="A22" s="100" t="s">
        <v>432</v>
      </c>
      <c r="B22" s="99" t="s">
        <v>433</v>
      </c>
    </row>
    <row r="23" customFormat="false" ht="19.5" hidden="false" customHeight="true" outlineLevel="0" collapsed="false">
      <c r="A23" s="100" t="s">
        <v>434</v>
      </c>
      <c r="B23" s="100" t="s">
        <v>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2026-08-10T14:01:21Z</dcterms:created>
  <dc:creator>openpyxl</dc:creator>
  <dc:description/>
  <dc:language>en-US</dc:language>
  <cp:lastModifiedBy/>
  <dcterms:modified xsi:type="dcterms:W3CDTF">2026-08-10T14:13:02Z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